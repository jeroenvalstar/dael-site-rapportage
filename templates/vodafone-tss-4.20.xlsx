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ricsson-my.sharepoint.com/personal/eric_van_der_mast_ericsson_com/Documents/Projects/15. Sunrise 2021-2022/19. TSS reports/"/>
    </mc:Choice>
  </mc:AlternateContent>
  <xr:revisionPtr revIDLastSave="10" documentId="8_{AE2098E2-C3CE-4534-ADC9-E96A12A42538}" xr6:coauthVersionLast="47" xr6:coauthVersionMax="47" xr10:uidLastSave="{A8BCFAE2-6F5F-412D-A001-B6783F593AB9}"/>
  <workbookProtection workbookAlgorithmName="SHA-512" workbookHashValue="dpsOFg2Zcibdt2cl0AmH/ZIFYlyxPEcY5Gc4GibG6QbBzH9PFntqLmMDLn7XLaxSDnFYbRTLDWf9mDTdX2c40A==" workbookSaltValue="np9c14qC4u12tDi1L/JgfQ==" workbookSpinCount="100000" lockStructure="1"/>
  <bookViews>
    <workbookView xWindow="-108" yWindow="-108" windowWidth="23256" windowHeight="12456" tabRatio="671" xr2:uid="{15695845-728D-4DF7-9A1E-3895D2C40301}"/>
  </bookViews>
  <sheets>
    <sheet name="TSS-bestaande site Report" sheetId="1" r:id="rId1"/>
    <sheet name="TSS-nieuwbouw site Report" sheetId="7" r:id="rId2"/>
    <sheet name="Checklist Fotodocumentatie" sheetId="2" r:id="rId3"/>
    <sheet name="values" sheetId="5" state="hidden" r:id="rId4"/>
    <sheet name="Revisies" sheetId="9" r:id="rId5"/>
  </sheets>
  <definedNames>
    <definedName name="_xlnm._FilterDatabase" localSheetId="3" hidden="1">values!$A$1:$BC$250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" i="7" l="1"/>
  <c r="E16" i="1"/>
  <c r="E17" i="1"/>
  <c r="G86" i="1"/>
  <c r="G85" i="1"/>
  <c r="H16" i="7"/>
  <c r="E16" i="7"/>
  <c r="H15" i="7"/>
  <c r="E15" i="7"/>
  <c r="H14" i="7"/>
  <c r="H17" i="1"/>
  <c r="H18" i="1"/>
  <c r="E18" i="1"/>
  <c r="H16" i="1"/>
  <c r="E132" i="7"/>
  <c r="H113" i="7"/>
  <c r="H107" i="7"/>
  <c r="H108" i="7"/>
  <c r="H109" i="7"/>
  <c r="H110" i="7"/>
  <c r="H111" i="7"/>
  <c r="H112" i="7"/>
  <c r="G69" i="1"/>
  <c r="G67" i="1"/>
  <c r="F64" i="1"/>
  <c r="G128" i="7"/>
  <c r="G129" i="7" s="1"/>
  <c r="G112" i="7"/>
  <c r="F111" i="7"/>
  <c r="G110" i="7"/>
  <c r="G109" i="7"/>
  <c r="F108" i="7"/>
  <c r="E108" i="7"/>
  <c r="G107" i="7"/>
  <c r="G106" i="7"/>
  <c r="H106" i="7" s="1"/>
  <c r="F67" i="1"/>
  <c r="G68" i="1"/>
  <c r="G65" i="1"/>
  <c r="G63" i="1"/>
  <c r="G62" i="1"/>
  <c r="E64" i="1"/>
  <c r="F69" i="1"/>
  <c r="F113" i="7"/>
  <c r="E11" i="1"/>
  <c r="C12" i="1" s="1"/>
  <c r="E89" i="1"/>
  <c r="E10" i="7"/>
  <c r="G111" i="7" l="1"/>
  <c r="G108" i="7"/>
  <c r="G113" i="7"/>
  <c r="G6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tc={05F3B7C6-E942-4F2B-B5B2-C2B1164AE445}</author>
  </authors>
  <commentList>
    <comment ref="G84" authorId="0" shapeId="0" xr:uid="{05F3B7C6-E942-4F2B-B5B2-C2B1164AE445}">
      <text>
        <t>[Threaded comment]
Your version of Excel allows you to read this threaded comment; however, any edits to it will get removed if the file is opened in a newer version of Excel. Learn more: https://go.microsoft.com/fwlink/?linkid=870924
Comment:
    Deze cel kopieert ook de waarde naar cel F60, G60 en H60 en naar G74 en G75.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tc={1CE4A08C-C508-4A03-9779-E23C91C2D096}</author>
  </authors>
  <commentList>
    <comment ref="G127" authorId="0" shapeId="0" xr:uid="{1CE4A08C-C508-4A03-9779-E23C91C2D096}">
      <text>
        <t>[Threaded comment]
Your version of Excel allows you to read this threaded comment; however, any edits to it will get removed if the file is opened in a newer version of Excel. Learn more: https://go.microsoft.com/fwlink/?linkid=870924
Comment:
    Deze cel is bepalend voor de AIR  in rij 113, 127, 128</t>
      </text>
    </comment>
  </commentList>
</comments>
</file>

<file path=xl/sharedStrings.xml><?xml version="1.0" encoding="utf-8"?>
<sst xmlns="http://schemas.openxmlformats.org/spreadsheetml/2006/main" count="1337" uniqueCount="884">
  <si>
    <t>Naam:</t>
  </si>
  <si>
    <t>Functie:</t>
  </si>
  <si>
    <t>Bedrijf:</t>
  </si>
  <si>
    <t>1 a. Site informatie algemeen</t>
  </si>
  <si>
    <t>1 b. Aanwezig op de TSS:</t>
  </si>
  <si>
    <t>(Bijvoorbeeld eigen K1, Landlord voeding, Aggregaat, etc.)</t>
  </si>
  <si>
    <t>(Denk ook aan verlopen keuringen, defecte kastdeuren of open wartels)</t>
  </si>
  <si>
    <t xml:space="preserve">Volg de checklist voor de fotodocumentatie en zorg dat alle foto's in een mapje staan. </t>
  </si>
  <si>
    <t>Selecteer het mapje met de foto's en dit TSS formulier en maak hier 1 .zip file van.</t>
  </si>
  <si>
    <r>
      <t xml:space="preserve">Dit komt neer op </t>
    </r>
    <r>
      <rPr>
        <sz val="11"/>
        <color theme="1"/>
        <rFont val="Calibri"/>
        <family val="2"/>
      </rPr>
      <t xml:space="preserve">± 25MB per 100 foto's. </t>
    </r>
  </si>
  <si>
    <t>NB. Alle foto's dienen rechtgezet en compleet te zijn. Verdraaide, onduidelijke of onscherpe foto's worden niet geaccepteerd.</t>
  </si>
  <si>
    <r>
      <t xml:space="preserve">Een foto dient een gemiddelde grootte te hebben van </t>
    </r>
    <r>
      <rPr>
        <sz val="11"/>
        <color theme="1"/>
        <rFont val="Calibri"/>
        <family val="2"/>
      </rPr>
      <t xml:space="preserve">± </t>
    </r>
    <r>
      <rPr>
        <sz val="11"/>
        <color theme="1"/>
        <rFont val="Calibri"/>
        <family val="2"/>
        <scheme val="minor"/>
      </rPr>
      <t>250KB.</t>
    </r>
  </si>
  <si>
    <t>N</t>
  </si>
  <si>
    <t>Y</t>
  </si>
  <si>
    <t>1.       Overzicht van het gebouw (meerdere foto's)</t>
  </si>
  <si>
    <t>2.       Site overzicht van de apparatuur opstelling (meerdere foto's)</t>
  </si>
  <si>
    <t>3.       Overzicht van de binnenkant apparatuur (hardware)</t>
  </si>
  <si>
    <t>5.       Overzicht RRU’s en werkplekken bij de RRU’s</t>
  </si>
  <si>
    <t>6.       Overzicht van de antennes</t>
  </si>
  <si>
    <t>7.       Duidelijk overzicht van de labels op de antennes</t>
  </si>
  <si>
    <t>8.       Overzicht van de jumpers / feeders</t>
  </si>
  <si>
    <t>10.   Overzicht van schotelopstelling</t>
  </si>
  <si>
    <t>11.   K1, K2 en/of Landlord verdeler (meerdere foto's)</t>
  </si>
  <si>
    <t>12.   Aarding (HAR / SAR / ringleiding)</t>
  </si>
  <si>
    <t>13.   Kabeltracés rondom de apparatuur (meerdere foto's)</t>
  </si>
  <si>
    <t>14.   Foto’s van H&amp;S</t>
  </si>
  <si>
    <t>a.       Overzicht veiligheidsmiddelen, incl. alle hekwerken</t>
  </si>
  <si>
    <t>b.       Keuringstickers</t>
  </si>
  <si>
    <t>c.       Eventueel foto’s van gebreken</t>
  </si>
  <si>
    <t>15.   Reeds aanwezige schades of andere mankementen</t>
  </si>
  <si>
    <t>16.   Foto’s voor de kraanopstelling, indien een kraan noodzakelijk is voor de werkzaamheden</t>
  </si>
  <si>
    <t>Upload deze .zip file in het managementsysteem ter goedkeuring voor Ericsson.</t>
  </si>
  <si>
    <t>Zorg dat alle foto's in een mapje staan. Maak een .zip file van het mapje en een ingevuld TSS document.</t>
  </si>
  <si>
    <t>Moet er transmissie worden verplaatst tijdens de werkzaamheden?</t>
  </si>
  <si>
    <t>(In te vullen door de radioplanner)</t>
  </si>
  <si>
    <t>Systeem</t>
  </si>
  <si>
    <t>Frequentie</t>
  </si>
  <si>
    <t>Type Radio sector 1</t>
  </si>
  <si>
    <t>Type Radio sector 2</t>
  </si>
  <si>
    <t>Type Radio sector 3</t>
  </si>
  <si>
    <t>4x4 toepassen</t>
  </si>
  <si>
    <t>Laagband</t>
  </si>
  <si>
    <t>LTE</t>
  </si>
  <si>
    <t>GSM</t>
  </si>
  <si>
    <t>Hoogband</t>
  </si>
  <si>
    <t>Combiner / Triplexer</t>
  </si>
  <si>
    <t>Splitter</t>
  </si>
  <si>
    <t>TMA</t>
  </si>
  <si>
    <t>RIU</t>
  </si>
  <si>
    <t>Antenne - Sector</t>
  </si>
  <si>
    <t>Type</t>
  </si>
  <si>
    <t>A1 - S1</t>
  </si>
  <si>
    <t>A2 - S1</t>
  </si>
  <si>
    <t>A1 - S2</t>
  </si>
  <si>
    <t>A2 - S2</t>
  </si>
  <si>
    <t>A1 - S3</t>
  </si>
  <si>
    <t>A2 - S3</t>
  </si>
  <si>
    <t>Opmerkingen:</t>
  </si>
  <si>
    <t>2600</t>
  </si>
  <si>
    <t>4 a. Beschrijving van de werkzaamheden:</t>
  </si>
  <si>
    <t>4.       Overzicht transmissie en de juiste lijnnummers</t>
  </si>
  <si>
    <t>Alle foto's dienen rechtgezet en compleet te zijn. Verdraaide, onduidelijke of onscherpe foto's worden niet geaccepteerd.</t>
  </si>
  <si>
    <t>(Geef aan wat er verplaatst moet worden)</t>
  </si>
  <si>
    <t>2 a. Huidige configuratie</t>
  </si>
  <si>
    <t>2 b. Gewenste configuratie</t>
  </si>
  <si>
    <t>DU type</t>
  </si>
  <si>
    <t>(Er hoeft geen RI&amp;E aangeleverd te worden, maar gebruik de checklist om antwoord te geven op de onderstaande vragen)</t>
  </si>
  <si>
    <t>PSU</t>
  </si>
  <si>
    <t>Aantal</t>
  </si>
  <si>
    <t>Datum TSS</t>
  </si>
  <si>
    <t>Naam RPE</t>
  </si>
  <si>
    <t>Scope</t>
  </si>
  <si>
    <t>Sitenummer</t>
  </si>
  <si>
    <t>Adres</t>
  </si>
  <si>
    <t>Postcode</t>
  </si>
  <si>
    <t>Plaats</t>
  </si>
  <si>
    <t>2100</t>
  </si>
  <si>
    <t>Kast type</t>
  </si>
  <si>
    <t>Combiner/triplexer</t>
  </si>
  <si>
    <t>MMC</t>
  </si>
  <si>
    <t>DUG20</t>
  </si>
  <si>
    <t>RRUS01</t>
  </si>
  <si>
    <t>1x DI</t>
  </si>
  <si>
    <t>DUS31</t>
  </si>
  <si>
    <t>RRUS11</t>
  </si>
  <si>
    <t>2x DI</t>
  </si>
  <si>
    <t>DUS41</t>
  </si>
  <si>
    <t>RRUS12</t>
  </si>
  <si>
    <t>3x DI</t>
  </si>
  <si>
    <t>X</t>
  </si>
  <si>
    <t>ASC</t>
  </si>
  <si>
    <t>RUS01</t>
  </si>
  <si>
    <t>4x DI</t>
  </si>
  <si>
    <t>RUS02</t>
  </si>
  <si>
    <t>1x TRI</t>
  </si>
  <si>
    <t>BB6630</t>
  </si>
  <si>
    <t>RUW01</t>
  </si>
  <si>
    <t>2x TRI</t>
  </si>
  <si>
    <t>3x TRI</t>
  </si>
  <si>
    <t>4x TRI</t>
  </si>
  <si>
    <t>DUW30</t>
  </si>
  <si>
    <t>DUW41</t>
  </si>
  <si>
    <t>RRUW01</t>
  </si>
  <si>
    <t>AIR11</t>
  </si>
  <si>
    <t>AIR21</t>
  </si>
  <si>
    <t>ITC</t>
  </si>
  <si>
    <t>RPE naam</t>
  </si>
  <si>
    <t>Rayen Faeber</t>
  </si>
  <si>
    <t>Antenne typenummer</t>
  </si>
  <si>
    <t>5. Inventarisatie transmissie</t>
  </si>
  <si>
    <t>4 b. Aanpassingen / opmerkingen toegangsprotocol</t>
  </si>
  <si>
    <t>6 b. Dient de hoofdvoeding aangepast te worden, zo ja hoe dan?</t>
  </si>
  <si>
    <t>3. locatie</t>
  </si>
  <si>
    <t>700</t>
  </si>
  <si>
    <t>1400</t>
  </si>
  <si>
    <t>3GPX0505F9</t>
  </si>
  <si>
    <t>3LPX0505F9</t>
  </si>
  <si>
    <t>A5NPX1006F</t>
  </si>
  <si>
    <t>AD7210_0</t>
  </si>
  <si>
    <t>AD7210_6</t>
  </si>
  <si>
    <t>AD7210_6_6DB</t>
  </si>
  <si>
    <t>AL4158.11.33_6</t>
  </si>
  <si>
    <t>AL7125.19</t>
  </si>
  <si>
    <t>AL7191.01</t>
  </si>
  <si>
    <t>BSA_W65</t>
  </si>
  <si>
    <t>DB992HG28N-B</t>
  </si>
  <si>
    <t>DOT1800</t>
  </si>
  <si>
    <t>DOT2100</t>
  </si>
  <si>
    <t>DOT2600</t>
  </si>
  <si>
    <t>GGGO310R3</t>
  </si>
  <si>
    <t>HA264518R0</t>
  </si>
  <si>
    <t>HA264518R0v01</t>
  </si>
  <si>
    <t>HA264518R0v06</t>
  </si>
  <si>
    <t>HA704515R0</t>
  </si>
  <si>
    <t>HA704515R0v06</t>
  </si>
  <si>
    <t>HA704516R0</t>
  </si>
  <si>
    <t>HA704516R0v06</t>
  </si>
  <si>
    <t>HA704517R0</t>
  </si>
  <si>
    <t>HA704517R0v06</t>
  </si>
  <si>
    <t>HA7945415R1</t>
  </si>
  <si>
    <t>HA794516R0</t>
  </si>
  <si>
    <t>HA794517R0v06</t>
  </si>
  <si>
    <t>HADU4515R0v01</t>
  </si>
  <si>
    <t>HADU4516R0</t>
  </si>
  <si>
    <t>HADU4516R0v01</t>
  </si>
  <si>
    <t>HADU4516R0v06</t>
  </si>
  <si>
    <t>HADU4517R0</t>
  </si>
  <si>
    <t>HADU41517R0v01</t>
  </si>
  <si>
    <t>HADU4517R0v06</t>
  </si>
  <si>
    <t>HADU4518R11</t>
  </si>
  <si>
    <t>HADU4518R12</t>
  </si>
  <si>
    <t>HADU4518R3v06</t>
  </si>
  <si>
    <t>HADU4518R6v01</t>
  </si>
  <si>
    <t>HATR4518R25v06</t>
  </si>
  <si>
    <t>HADU4516R6v06</t>
  </si>
  <si>
    <t>HADU4517R6v06</t>
  </si>
  <si>
    <t>HADU4518R8v06</t>
  </si>
  <si>
    <t>HAHP4518R5v06</t>
  </si>
  <si>
    <t>HADU4518R9v06</t>
  </si>
  <si>
    <t>HAOC4518R6v06</t>
  </si>
  <si>
    <t>HAQU4517R4v06</t>
  </si>
  <si>
    <t>HAQU4518R24v06</t>
  </si>
  <si>
    <t>HAQU4518R25v06</t>
  </si>
  <si>
    <t>HAQU4518R24</t>
  </si>
  <si>
    <t>HAQU4518R25</t>
  </si>
  <si>
    <t>HASI4518R36v06</t>
  </si>
  <si>
    <t>HATR4517R4</t>
  </si>
  <si>
    <t>HATR4517R5</t>
  </si>
  <si>
    <t>HATR4517R5v06</t>
  </si>
  <si>
    <t>HATR4518R12</t>
  </si>
  <si>
    <t>HATR4518R12v06</t>
  </si>
  <si>
    <t>HATR4518R2</t>
  </si>
  <si>
    <t>HATR4518R2v06</t>
  </si>
  <si>
    <t>HATR4518R6v06</t>
  </si>
  <si>
    <t>HATR4518R7</t>
  </si>
  <si>
    <t>HATR4518R7v06</t>
  </si>
  <si>
    <t>HATR4518R11v06</t>
  </si>
  <si>
    <t>HZ0061</t>
  </si>
  <si>
    <t>HZ0045</t>
  </si>
  <si>
    <t>Inbuilt antenna</t>
  </si>
  <si>
    <t>Indoor</t>
  </si>
  <si>
    <t>JB7469</t>
  </si>
  <si>
    <t>JB5027</t>
  </si>
  <si>
    <t>JB7142900</t>
  </si>
  <si>
    <t>JB7158900</t>
  </si>
  <si>
    <t>JB7175890</t>
  </si>
  <si>
    <t>JB7360008</t>
  </si>
  <si>
    <t>K729931</t>
  </si>
  <si>
    <t>K730028</t>
  </si>
  <si>
    <t>K735727</t>
  </si>
  <si>
    <t>K736624</t>
  </si>
  <si>
    <t>K736873</t>
  </si>
  <si>
    <t>K736879</t>
  </si>
  <si>
    <t>K736881</t>
  </si>
  <si>
    <t>K737031</t>
  </si>
  <si>
    <t>K739602</t>
  </si>
  <si>
    <t>K738444</t>
  </si>
  <si>
    <t>K738445</t>
  </si>
  <si>
    <t>K738446</t>
  </si>
  <si>
    <t>K738449</t>
  </si>
  <si>
    <t>K378450</t>
  </si>
  <si>
    <t>K738573</t>
  </si>
  <si>
    <t>K739619</t>
  </si>
  <si>
    <t>K739630</t>
  </si>
  <si>
    <t>K739632</t>
  </si>
  <si>
    <t>K739658</t>
  </si>
  <si>
    <t>K739660</t>
  </si>
  <si>
    <t>K739666</t>
  </si>
  <si>
    <t>K739707</t>
  </si>
  <si>
    <t>K741320</t>
  </si>
  <si>
    <t>K741324</t>
  </si>
  <si>
    <t>K741571</t>
  </si>
  <si>
    <t>K741790</t>
  </si>
  <si>
    <t>K741989</t>
  </si>
  <si>
    <t>K742149</t>
  </si>
  <si>
    <t>K742192</t>
  </si>
  <si>
    <t>K742212</t>
  </si>
  <si>
    <t>K742215</t>
  </si>
  <si>
    <t>K742222</t>
  </si>
  <si>
    <t>K742222v01</t>
  </si>
  <si>
    <t>K742223</t>
  </si>
  <si>
    <t>K742226v01</t>
  </si>
  <si>
    <t>K742234</t>
  </si>
  <si>
    <t>K742236</t>
  </si>
  <si>
    <t>K742264</t>
  </si>
  <si>
    <t>K742264v02</t>
  </si>
  <si>
    <t>K742265</t>
  </si>
  <si>
    <t>K742265v02</t>
  </si>
  <si>
    <t>K742266</t>
  </si>
  <si>
    <t>K742266v02</t>
  </si>
  <si>
    <t>K742351</t>
  </si>
  <si>
    <t>K742351v01</t>
  </si>
  <si>
    <t>K751167</t>
  </si>
  <si>
    <t>K7515641</t>
  </si>
  <si>
    <t>K7515647</t>
  </si>
  <si>
    <t>K80010046</t>
  </si>
  <si>
    <t>K80010121</t>
  </si>
  <si>
    <t>K80010121v01</t>
  </si>
  <si>
    <t>K80010122</t>
  </si>
  <si>
    <t>K80010122v01</t>
  </si>
  <si>
    <t>K80010123</t>
  </si>
  <si>
    <t>K80010123v03</t>
  </si>
  <si>
    <t>K80010137</t>
  </si>
  <si>
    <t>K80010147</t>
  </si>
  <si>
    <t>K80010247</t>
  </si>
  <si>
    <t>K80010248</t>
  </si>
  <si>
    <t>K80010251</t>
  </si>
  <si>
    <t>K80010251v01</t>
  </si>
  <si>
    <t>K80010274</t>
  </si>
  <si>
    <t>K80010292</t>
  </si>
  <si>
    <t>K80010292v02</t>
  </si>
  <si>
    <t>K80010306</t>
  </si>
  <si>
    <t>K80010306v01</t>
  </si>
  <si>
    <t>K80010306v02</t>
  </si>
  <si>
    <t>K80010309v01</t>
  </si>
  <si>
    <t>K80010310</t>
  </si>
  <si>
    <t>K80010310v01</t>
  </si>
  <si>
    <t>K80010368</t>
  </si>
  <si>
    <t>K80010485</t>
  </si>
  <si>
    <t>K80010485v01</t>
  </si>
  <si>
    <t>K80010486</t>
  </si>
  <si>
    <t>K80010486v02</t>
  </si>
  <si>
    <t>K80010504</t>
  </si>
  <si>
    <t>K80010510</t>
  </si>
  <si>
    <t>K80010621v01</t>
  </si>
  <si>
    <t>K80010621v02</t>
  </si>
  <si>
    <t>K80010622</t>
  </si>
  <si>
    <t>K80010622v01</t>
  </si>
  <si>
    <t>K80010644</t>
  </si>
  <si>
    <t>K80010667</t>
  </si>
  <si>
    <t>K80010668</t>
  </si>
  <si>
    <t>K80010669</t>
  </si>
  <si>
    <t>K80010677</t>
  </si>
  <si>
    <t>K80010678</t>
  </si>
  <si>
    <t>K80010697</t>
  </si>
  <si>
    <t>K80010698</t>
  </si>
  <si>
    <t>K80010699</t>
  </si>
  <si>
    <t>K80010709</t>
  </si>
  <si>
    <t>K80010753</t>
  </si>
  <si>
    <t>K80010761</t>
  </si>
  <si>
    <t>K80010817</t>
  </si>
  <si>
    <t>K80010847</t>
  </si>
  <si>
    <t>KAC6507_0</t>
  </si>
  <si>
    <t>KAC6507_6</t>
  </si>
  <si>
    <t>KAC6508_6</t>
  </si>
  <si>
    <t>KAC6510</t>
  </si>
  <si>
    <t>KAC6515_0</t>
  </si>
  <si>
    <t>KAC9005_2</t>
  </si>
  <si>
    <t>KAC9007_0</t>
  </si>
  <si>
    <t>KAC9007_6</t>
  </si>
  <si>
    <t>KAC9010_0</t>
  </si>
  <si>
    <t>KAC9010_6</t>
  </si>
  <si>
    <t>KAC9015_6</t>
  </si>
  <si>
    <t>KAC9016_0</t>
  </si>
  <si>
    <t>KAC9016_6</t>
  </si>
  <si>
    <t>KAV10507_0</t>
  </si>
  <si>
    <t>KAV10507_6</t>
  </si>
  <si>
    <t>KAV12007_0</t>
  </si>
  <si>
    <t>KAV3607_0</t>
  </si>
  <si>
    <t>KAV6507_0</t>
  </si>
  <si>
    <t>KAV6507_6</t>
  </si>
  <si>
    <t>KAV6513_0</t>
  </si>
  <si>
    <t>KAV6570_0</t>
  </si>
  <si>
    <t>KAV9007_0</t>
  </si>
  <si>
    <t>KAV9007_6</t>
  </si>
  <si>
    <t>KAX10507_6</t>
  </si>
  <si>
    <t>KAX6507_0</t>
  </si>
  <si>
    <t>KAX9007_0</t>
  </si>
  <si>
    <t>KAX9007_6</t>
  </si>
  <si>
    <t>KAX9013_0</t>
  </si>
  <si>
    <t>KRC118030-1_v01</t>
  </si>
  <si>
    <t>KRC11893-3_v01</t>
  </si>
  <si>
    <t>KRD901087/11</t>
  </si>
  <si>
    <t>MA2003</t>
  </si>
  <si>
    <t>P2F-19</t>
  </si>
  <si>
    <t>RA1610_6</t>
  </si>
  <si>
    <t>RA1613_0</t>
  </si>
  <si>
    <t>RA1614_0</t>
  </si>
  <si>
    <t>RA1617_0</t>
  </si>
  <si>
    <t>RA1665_0</t>
  </si>
  <si>
    <t>RA1667</t>
  </si>
  <si>
    <t>RA1725</t>
  </si>
  <si>
    <t>RA1757</t>
  </si>
  <si>
    <t>RA1757_6</t>
  </si>
  <si>
    <t>RA1758</t>
  </si>
  <si>
    <t>RA1759D</t>
  </si>
  <si>
    <t>RA1760</t>
  </si>
  <si>
    <t>RA1832</t>
  </si>
  <si>
    <t>RA2211_4</t>
  </si>
  <si>
    <t>RA2211_6</t>
  </si>
  <si>
    <t>RA5018</t>
  </si>
  <si>
    <t>RAF222</t>
  </si>
  <si>
    <t>RAF224</t>
  </si>
  <si>
    <t>RAF226</t>
  </si>
  <si>
    <t>RAF244</t>
  </si>
  <si>
    <t>RAF246</t>
  </si>
  <si>
    <t>RAF264</t>
  </si>
  <si>
    <t>RAF266</t>
  </si>
  <si>
    <t>RAF444</t>
  </si>
  <si>
    <t>RAF446</t>
  </si>
  <si>
    <t>RAF466</t>
  </si>
  <si>
    <t>RAF666</t>
  </si>
  <si>
    <t>RAX9007_6</t>
  </si>
  <si>
    <t>UA10370/1</t>
  </si>
  <si>
    <t>UA10730/2</t>
  </si>
  <si>
    <t>V_omni</t>
  </si>
  <si>
    <t>XM85-7-AV1</t>
  </si>
  <si>
    <t>other</t>
  </si>
  <si>
    <t>ASI4518R36v06</t>
  </si>
  <si>
    <t>Azimuth</t>
  </si>
  <si>
    <t>ABH</t>
  </si>
  <si>
    <t>AOC4518R6v06</t>
  </si>
  <si>
    <t>AOC4518R21v06</t>
  </si>
  <si>
    <t>AOC4518R7v06</t>
  </si>
  <si>
    <t>ASI4518R39v06</t>
  </si>
  <si>
    <t>ASI4518R37v06</t>
  </si>
  <si>
    <t>ADU4518R7v06</t>
  </si>
  <si>
    <t>Constructieberekeningen</t>
  </si>
  <si>
    <t>Dakplattegrond bestaande situatie</t>
  </si>
  <si>
    <t>Schoongrondverklaring/ onderzoek</t>
  </si>
  <si>
    <t>Funderingsadvies</t>
  </si>
  <si>
    <t>Aarding bliksem bestaande situatie</t>
  </si>
  <si>
    <t>Constructie-/ mastberekeningen</t>
  </si>
  <si>
    <t>Vergunning/ gedoogbeschikking</t>
  </si>
  <si>
    <t>kabelberekeningen elektra</t>
  </si>
  <si>
    <t xml:space="preserve">Gebouwen algemeen (objecten) </t>
  </si>
  <si>
    <t>Monument</t>
  </si>
  <si>
    <t>Kerk</t>
  </si>
  <si>
    <t>Kantoorgebouw</t>
  </si>
  <si>
    <t>Woongebouw</t>
  </si>
  <si>
    <r>
      <t>(</t>
    </r>
    <r>
      <rPr>
        <sz val="8"/>
        <color theme="1"/>
        <rFont val="Calibri"/>
        <family val="2"/>
        <scheme val="minor"/>
      </rPr>
      <t xml:space="preserve">aanvinken om wat het gaat </t>
    </r>
    <r>
      <rPr>
        <sz val="11"/>
        <color theme="1"/>
        <rFont val="Calibri"/>
        <family val="2"/>
        <scheme val="minor"/>
      </rPr>
      <t>)</t>
    </r>
  </si>
  <si>
    <t>Outdoor</t>
  </si>
  <si>
    <t>1</t>
  </si>
  <si>
    <t>2</t>
  </si>
  <si>
    <t>Fabrikaat</t>
  </si>
  <si>
    <t>NVT</t>
  </si>
  <si>
    <t>Bliksembeveiliging</t>
  </si>
  <si>
    <t>Bliksembeveiliging aanwezig</t>
  </si>
  <si>
    <t>Meetrapport beschikbaar</t>
  </si>
  <si>
    <t>Nieuwe zakleidingen aanbrengen</t>
  </si>
  <si>
    <t>Voldoet aan LP3</t>
  </si>
  <si>
    <t>Aansluiten op bestaand daknet</t>
  </si>
  <si>
    <t xml:space="preserve">Metingen uit te voeren tijdens aanvang bouw </t>
  </si>
  <si>
    <t>Aantal aanwezige aardelektroden</t>
  </si>
  <si>
    <t>NTB</t>
  </si>
  <si>
    <t>Eigen aansluiting</t>
  </si>
  <si>
    <t>Aftakking</t>
  </si>
  <si>
    <t>Hoofdbeveiliging (Vodafone)</t>
  </si>
  <si>
    <t>Vereffeningsleiding</t>
  </si>
  <si>
    <t>Verdeler uitbreiden</t>
  </si>
  <si>
    <t>Locatie hoofdverdeler K1</t>
  </si>
  <si>
    <t>Hoofdschakelaar K1 Verdeler / Aftakking</t>
  </si>
  <si>
    <t>Hoofdschakelaar K2 Verdeler</t>
  </si>
  <si>
    <t>Type Kabel</t>
  </si>
  <si>
    <t>Toegang K1 Verdeler</t>
  </si>
  <si>
    <r>
      <t>Aardlekschakelaar</t>
    </r>
    <r>
      <rPr>
        <sz val="8"/>
        <color theme="1"/>
        <rFont val="Calibri"/>
        <family val="2"/>
        <scheme val="minor"/>
      </rPr>
      <t xml:space="preserve"> ( als hoofdschakelaar, indien van toepassing)</t>
    </r>
  </si>
  <si>
    <t>Nieuwe situatie</t>
  </si>
  <si>
    <t>..........B32...............</t>
  </si>
  <si>
    <t>.............................A</t>
  </si>
  <si>
    <t>..-Polig, ...A, ...mA</t>
  </si>
  <si>
    <t>Ymvk (as) 4x xx mm2</t>
  </si>
  <si>
    <t>K1-K2 = ....  K2-RBS=......</t>
  </si>
  <si>
    <t>...............1...........St.</t>
  </si>
  <si>
    <t>...............0...........St.</t>
  </si>
  <si>
    <t>K1-Kast</t>
  </si>
  <si>
    <t>Other</t>
  </si>
  <si>
    <t>Other: (hieronder aangeven)</t>
  </si>
  <si>
    <t>Conditie dakbedekking</t>
  </si>
  <si>
    <t>Dakopbouw</t>
  </si>
  <si>
    <t>Goed</t>
  </si>
  <si>
    <t>Matig</t>
  </si>
  <si>
    <t>Slecht</t>
  </si>
  <si>
    <t>Prefab</t>
  </si>
  <si>
    <t>Ongeïsoleerd dak</t>
  </si>
  <si>
    <t>Warm dak</t>
  </si>
  <si>
    <t>Koud dak</t>
  </si>
  <si>
    <t>Omgekeerd dak</t>
  </si>
  <si>
    <t>Bitumen</t>
  </si>
  <si>
    <t>Kunststof/Rubber</t>
  </si>
  <si>
    <t>Is het looppad te gebruiken conform richtlijnen van ARBO?</t>
  </si>
  <si>
    <r>
      <t xml:space="preserve">Met welk materiaal is het dak voorzien? ( </t>
    </r>
    <r>
      <rPr>
        <b/>
        <sz val="9"/>
        <color theme="1"/>
        <rFont val="Calibri"/>
        <family val="2"/>
        <scheme val="minor"/>
      </rPr>
      <t>tegels, grind, other</t>
    </r>
    <r>
      <rPr>
        <b/>
        <sz val="11"/>
        <color theme="1"/>
        <rFont val="Calibri"/>
        <family val="2"/>
        <scheme val="minor"/>
      </rPr>
      <t>,)</t>
    </r>
  </si>
  <si>
    <r>
      <t xml:space="preserve">Is de huisdakdekker bekend? Zo ja, wie is dit? ( </t>
    </r>
    <r>
      <rPr>
        <b/>
        <sz val="9"/>
        <color theme="1"/>
        <rFont val="Calibri"/>
        <family val="2"/>
        <scheme val="minor"/>
      </rPr>
      <t>naam, plaats, telefoonnummer</t>
    </r>
    <r>
      <rPr>
        <b/>
        <sz val="11"/>
        <color theme="1"/>
        <rFont val="Calibri"/>
        <family val="2"/>
        <scheme val="minor"/>
      </rPr>
      <t>)</t>
    </r>
  </si>
  <si>
    <t>Steen</t>
  </si>
  <si>
    <t>Beton</t>
  </si>
  <si>
    <t>Hout</t>
  </si>
  <si>
    <t xml:space="preserve">Staal </t>
  </si>
  <si>
    <t>Glas</t>
  </si>
  <si>
    <t>Kwaliteit Wanden</t>
  </si>
  <si>
    <t xml:space="preserve">zie foto's </t>
  </si>
  <si>
    <t>Zijn er specifieke eisen voor toegang? Zo ja, hieronder vermelden.</t>
  </si>
  <si>
    <t xml:space="preserve">Toegangelijkheid Personen: </t>
  </si>
  <si>
    <t>Veiligheidsmiddelen benodigd</t>
  </si>
  <si>
    <t>Toegang via inpandige trap</t>
  </si>
  <si>
    <t>Toegang via dakluik met ladder</t>
  </si>
  <si>
    <t xml:space="preserve">Toegangelijkheid goederen: </t>
  </si>
  <si>
    <t>Toegang via inpandige trap recht/draai</t>
  </si>
  <si>
    <t>Toegang via bestaande weg</t>
  </si>
  <si>
    <t>Ruimte beschikbaar?</t>
  </si>
  <si>
    <t>Mobiele kraan benodigd?</t>
  </si>
  <si>
    <t>(vb. Circa 250m1 rijplaten dubbel spoor, plateau pension bij inrijden pad en plateau bij site tbv opstellen materieel. Tevens paar rijplaten in de bocht op toegangsroute)</t>
  </si>
  <si>
    <t>Overhangende bomen</t>
  </si>
  <si>
    <t>(vb. onverhard)</t>
  </si>
  <si>
    <t>(vb. bomen)</t>
  </si>
  <si>
    <t>Milieurapport noodzakelijk</t>
  </si>
  <si>
    <t>Grondonderzoek en funderingsadvies noodzakelijk</t>
  </si>
  <si>
    <t>locatie inmeten met kadastrale gegevens of door kadaster</t>
  </si>
  <si>
    <t>Checklist grond</t>
  </si>
  <si>
    <t>Gemeente</t>
  </si>
  <si>
    <t>(vb: wordt dit door de gemeente verzorgd?)</t>
  </si>
  <si>
    <t>Schaftgelegenheid</t>
  </si>
  <si>
    <t>Parkeerplaats beschikbaar</t>
  </si>
  <si>
    <t>Toilet beschikbaar</t>
  </si>
  <si>
    <t>Brandblusser aanwezig</t>
  </si>
  <si>
    <t>3. Gebouw / Terrein</t>
  </si>
  <si>
    <t>3a. Toegang</t>
  </si>
  <si>
    <t>4. TYPE SITE</t>
  </si>
  <si>
    <t>9. Bliksembeveiliging</t>
  </si>
  <si>
    <t>10. Energievoorziening TYPE-A</t>
  </si>
  <si>
    <t>13. TOEGANG</t>
  </si>
  <si>
    <t xml:space="preserve">14. Gegevens Kraan: </t>
  </si>
  <si>
    <t xml:space="preserve">16. Aanwezige faciliteiten: </t>
  </si>
  <si>
    <t>Type Site</t>
  </si>
  <si>
    <t>DTMA</t>
  </si>
  <si>
    <r>
      <t xml:space="preserve">Y-( </t>
    </r>
    <r>
      <rPr>
        <b/>
        <sz val="8"/>
        <color theme="4" tint="-0.499984740745262"/>
        <rFont val="Calibri"/>
        <family val="2"/>
        <scheme val="minor"/>
      </rPr>
      <t>uit ARM</t>
    </r>
    <r>
      <rPr>
        <b/>
        <sz val="11"/>
        <color theme="4" tint="-0.499984740745262"/>
        <rFont val="Calibri"/>
        <family val="2"/>
        <scheme val="minor"/>
      </rPr>
      <t xml:space="preserve"> )</t>
    </r>
  </si>
  <si>
    <r>
      <t>X- (</t>
    </r>
    <r>
      <rPr>
        <b/>
        <u/>
        <sz val="8"/>
        <color theme="1"/>
        <rFont val="Calibri"/>
        <family val="2"/>
        <scheme val="minor"/>
      </rPr>
      <t>uit ARM</t>
    </r>
    <r>
      <rPr>
        <b/>
        <u/>
        <sz val="11"/>
        <color theme="1"/>
        <rFont val="Calibri"/>
        <family val="2"/>
        <scheme val="minor"/>
      </rPr>
      <t>)</t>
    </r>
  </si>
  <si>
    <t>Positie sleutelkluis bekend</t>
  </si>
  <si>
    <t>Airco</t>
  </si>
  <si>
    <t>Aansluiting op bestaand bliksembeveiligingnet</t>
  </si>
  <si>
    <t>Aantal koppelingen aan constructie gebouw</t>
  </si>
  <si>
    <t>Bliksembeveiliging gekoppeld aan constructie gebouw</t>
  </si>
  <si>
    <t>afstand t.o.v. elkaar</t>
  </si>
  <si>
    <t>aantal nieuwe zakleidingen, afhankelijk van meting bouw</t>
  </si>
  <si>
    <t>Lengte kabel tussen K1 en RBS/Enclosure</t>
  </si>
  <si>
    <t>Aantal reserve roepen, 1-3 fase</t>
  </si>
  <si>
    <t>Aantal reserve groepen, 1-3 fase</t>
  </si>
  <si>
    <t>Plaats aftakking landlord Kwh-meter:</t>
  </si>
  <si>
    <t>Staalconstructie met houten liggers</t>
  </si>
  <si>
    <t>Staalconstructie met staalplaten</t>
  </si>
  <si>
    <t>In het werk gestort</t>
  </si>
  <si>
    <t>Houten balklaag</t>
  </si>
  <si>
    <t>Toegang via lift</t>
  </si>
  <si>
    <t>Maximum gewicht:</t>
  </si>
  <si>
    <t>........................................(Kg).</t>
  </si>
  <si>
    <t>Maximum afmetingen LxBxH</t>
  </si>
  <si>
    <t>........................................(m)</t>
  </si>
  <si>
    <t>Verharding toegang opstelplaats (asfalt, tegels, etc)</t>
  </si>
  <si>
    <t>Oobstakels op of naast opstelplaats (bomen, lataarpalen etc)</t>
  </si>
  <si>
    <t>Ondergrondse kabels/leidingen</t>
  </si>
  <si>
    <t>Bovengrondse kabels (trein, tram, etc)</t>
  </si>
  <si>
    <t>15. Checklist grond:</t>
  </si>
  <si>
    <t>Nog te verrichten werkzaamheden met betrekking tot het gebouw.</t>
  </si>
  <si>
    <t>Klic melding noodzakelijk</t>
  </si>
  <si>
    <t xml:space="preserve">6. TRANSMISSIE  </t>
  </si>
  <si>
    <t>DUL20</t>
  </si>
  <si>
    <t>DUW10</t>
  </si>
  <si>
    <t>DUW20</t>
  </si>
  <si>
    <t>MCPA</t>
  </si>
  <si>
    <t>CDU</t>
  </si>
  <si>
    <t>Aantal sleutels nodig, zo ja, hoeveel?</t>
  </si>
  <si>
    <t>6c. Dishes Vodafone:</t>
  </si>
  <si>
    <t>A-zijde</t>
  </si>
  <si>
    <t>Richting</t>
  </si>
  <si>
    <t>3</t>
  </si>
  <si>
    <t>Dishes</t>
  </si>
  <si>
    <r>
      <t>(</t>
    </r>
    <r>
      <rPr>
        <sz val="8"/>
        <color theme="1"/>
        <rFont val="Calibri"/>
        <family val="2"/>
        <scheme val="minor"/>
      </rPr>
      <t>aankruisen indien van toepassing</t>
    </r>
    <r>
      <rPr>
        <sz val="11"/>
        <color theme="1"/>
        <rFont val="Calibri"/>
        <family val="2"/>
        <scheme val="minor"/>
      </rPr>
      <t>)</t>
    </r>
  </si>
  <si>
    <t>C2000</t>
  </si>
  <si>
    <t xml:space="preserve">wat is de route?  </t>
  </si>
  <si>
    <t xml:space="preserve">Opmerkingen: </t>
  </si>
  <si>
    <t>(geef aan, hoogte lift of aantal rijplaten?</t>
  </si>
  <si>
    <t>Indien andere partij, hieronder aangeven:</t>
  </si>
  <si>
    <t>(vb: Radio omroep)</t>
  </si>
  <si>
    <t>1800</t>
  </si>
  <si>
    <t>Antenne typenummer bestaande site</t>
  </si>
  <si>
    <t>Antenne typenummer nieuwe site</t>
  </si>
  <si>
    <t>Radio type bestaande site</t>
  </si>
  <si>
    <t>DU type bestaande site</t>
  </si>
  <si>
    <t>DU type nieuwe site</t>
  </si>
  <si>
    <t>Radio type nieuwe site</t>
  </si>
  <si>
    <t>Zo ja, dient hierdoor contact opgenomen te worden met het transmissieteam? (SEN TX)</t>
  </si>
  <si>
    <t>S</t>
  </si>
  <si>
    <t>Plaatsen</t>
  </si>
  <si>
    <t>Plaats condensor</t>
  </si>
  <si>
    <t>Panasonic</t>
  </si>
  <si>
    <t>Is er nog dakgarantie</t>
  </si>
  <si>
    <t>Wat zijn de gegevens van de Landlord voor de toegang?</t>
  </si>
  <si>
    <t>Wat is de dikte van de vloer?</t>
  </si>
  <si>
    <t>Aantal m2</t>
  </si>
  <si>
    <t>Tekenpakket beschikbaar</t>
  </si>
  <si>
    <t>Documentatie</t>
  </si>
  <si>
    <t>Niet leverbaar</t>
  </si>
  <si>
    <t>Wordt opgevraagd</t>
  </si>
  <si>
    <t>Opmerkingen: (geef aan wat voor ruimte)</t>
  </si>
  <si>
    <t>7. Airco (alleen indoor)</t>
  </si>
  <si>
    <t>8. Wordt de locatie gedeeld met één van onderstaande providers?</t>
  </si>
  <si>
    <t>80cm RVS straatkast</t>
  </si>
  <si>
    <t>Toegang via kooiladder</t>
  </si>
  <si>
    <t>Toegang via Lift</t>
  </si>
  <si>
    <t>(type kraan + Locatie.)</t>
  </si>
  <si>
    <r>
      <t>(</t>
    </r>
    <r>
      <rPr>
        <sz val="11"/>
        <color theme="1"/>
        <rFont val="Calibri"/>
        <family val="2"/>
        <scheme val="minor"/>
      </rPr>
      <t>zo ja, hieronder aangeven: type en m2 rijplaten</t>
    </r>
    <r>
      <rPr>
        <b/>
        <sz val="11"/>
        <color theme="1"/>
        <rFont val="Calibri"/>
        <family val="2"/>
        <scheme val="minor"/>
      </rPr>
      <t>)</t>
    </r>
  </si>
  <si>
    <t>( Inzet Kraan + rijplaten, te verwijderen antennes, RRU's, Kasten. Nieuw te plaatsen apparatuur, H&amp;S aanpassingen)</t>
  </si>
  <si>
    <t>VD.........35...........mm2</t>
  </si>
  <si>
    <t>K1 met K2 uitbreiding</t>
  </si>
  <si>
    <t>K1 straatkast</t>
  </si>
  <si>
    <t>RAL/Kleur</t>
  </si>
  <si>
    <t xml:space="preserve">Hoofddak: ligt er nieuwe dakbedekking? </t>
  </si>
  <si>
    <t>4 a. Beschrijving van de werkzaamheden</t>
  </si>
  <si>
    <t>(nieuw te plaatsen antennes, nieuw te plaatsten apparatuur, kabelgoten etc &amp; eventueel te plaatsen H&amp;S)</t>
  </si>
  <si>
    <t>6 a. Omschrijf de huidge vorm van de hoofdvoeding en eventuele K2.</t>
  </si>
  <si>
    <t>6c. Dient de secundaire aansluiting aangepast te worden? ( K2) zo ja hoe dan?</t>
  </si>
  <si>
    <t>6d. Is de aarding in orde?</t>
  </si>
  <si>
    <t>7a. Bereikbaarheid locatie, kraan/goederen</t>
  </si>
  <si>
    <t>8. Volg de checklist voor Risico-inventarisatie en evaluatie (RI&amp;E)</t>
  </si>
  <si>
    <t xml:space="preserve">8a. Zijn alle veiligheidsmiddelen gekeurd, en tot wanneer? </t>
  </si>
  <si>
    <t>8b. Is de RI&amp;E tijdens de TSS Groen / Geel / Oranje / Rood? Geef toelichting indien Oranje / Rood:</t>
  </si>
  <si>
    <t>8c. Moet de site vóór de uitvoering van dit project aangepast worden? Geef toelichting:</t>
  </si>
  <si>
    <t>9. Fotodocumentatie en versturen TSS</t>
  </si>
  <si>
    <t>BB6648</t>
  </si>
  <si>
    <t>AQU4518R60v06</t>
  </si>
  <si>
    <t>K800372965</t>
  </si>
  <si>
    <t>K800372966</t>
  </si>
  <si>
    <t>3500</t>
  </si>
  <si>
    <t>AIR3278</t>
  </si>
  <si>
    <t>Tekening</t>
  </si>
  <si>
    <t>36.1b</t>
  </si>
  <si>
    <t>36.11b</t>
  </si>
  <si>
    <t>36.1f</t>
  </si>
  <si>
    <t>36.11f</t>
  </si>
  <si>
    <t>36.1d</t>
  </si>
  <si>
    <t>36.11d</t>
  </si>
  <si>
    <t>36.3b</t>
  </si>
  <si>
    <t>36.13b</t>
  </si>
  <si>
    <t>36.3d</t>
  </si>
  <si>
    <t>36.13d</t>
  </si>
  <si>
    <t>36.3f</t>
  </si>
  <si>
    <t>36.13f</t>
  </si>
  <si>
    <t>36.4b</t>
  </si>
  <si>
    <t>36.14b</t>
  </si>
  <si>
    <t>36.4d</t>
  </si>
  <si>
    <t>36.14d</t>
  </si>
  <si>
    <t>36.5b</t>
  </si>
  <si>
    <t>36.5d</t>
  </si>
  <si>
    <t>36.15d</t>
  </si>
  <si>
    <t>36.6b</t>
  </si>
  <si>
    <t>36.16b</t>
  </si>
  <si>
    <t>Aansluitschema</t>
  </si>
  <si>
    <t>Commscope RRZZV4-65D-R8NV1 (2.8)</t>
  </si>
  <si>
    <t>Bedrijf</t>
  </si>
  <si>
    <t>Ericsson</t>
  </si>
  <si>
    <t>Dael Telecom</t>
  </si>
  <si>
    <t>Dael Power</t>
  </si>
  <si>
    <t>Bouwbedrijf Hendriks</t>
  </si>
  <si>
    <t>WL Winet</t>
  </si>
  <si>
    <t>Vodafone</t>
  </si>
  <si>
    <t>Spie</t>
  </si>
  <si>
    <t>MD7</t>
  </si>
  <si>
    <t>LL</t>
  </si>
  <si>
    <t>Rooftop</t>
  </si>
  <si>
    <t>Groundsite</t>
  </si>
  <si>
    <t>Special, vermelden wat</t>
  </si>
  <si>
    <t>Greenfield</t>
  </si>
  <si>
    <t>Indien Special, wat voor object</t>
  </si>
  <si>
    <t>HVP</t>
  </si>
  <si>
    <t>Church</t>
  </si>
  <si>
    <t>12.DAKEN  ( Hoofddak, dak opbouw )</t>
  </si>
  <si>
    <t xml:space="preserve">12a. Type Vloer: </t>
  </si>
  <si>
    <t xml:space="preserve">12b. Type Isolatie: </t>
  </si>
  <si>
    <t xml:space="preserve">12c. Type Dakbedekking: </t>
  </si>
  <si>
    <t xml:space="preserve">12d. Materiaal wanden: </t>
  </si>
  <si>
    <t>Tijdelijke aftakking landlord of OLO</t>
  </si>
  <si>
    <t>Zon aggregaat Volta energy:</t>
  </si>
  <si>
    <t>Waar kan het aggregaat geplaats worden?</t>
  </si>
  <si>
    <t>Conform bestaand</t>
  </si>
  <si>
    <t>Scope-
Antenne-BB/RAN Controller</t>
  </si>
  <si>
    <t>PSU 6302</t>
  </si>
  <si>
    <t>Scope - Antenne - BB</t>
  </si>
  <si>
    <t>functie</t>
  </si>
  <si>
    <t>Naam ENN engineer</t>
  </si>
  <si>
    <t>Andringa, Jan</t>
  </si>
  <si>
    <t>Site Engineer</t>
  </si>
  <si>
    <t>Coppers, Tom</t>
  </si>
  <si>
    <t>Klompmakers, John</t>
  </si>
  <si>
    <t>Malone, Floyd</t>
  </si>
  <si>
    <t>Ommeren van, Jimmy</t>
  </si>
  <si>
    <t>Wezel, Henk Van</t>
  </si>
  <si>
    <t>Woerlee, Rene</t>
  </si>
  <si>
    <t>Wolthuis, Wouter</t>
  </si>
  <si>
    <t>Bollen, Arno</t>
  </si>
  <si>
    <t>Radio Engineer</t>
  </si>
  <si>
    <t>Rijk, Henk</t>
  </si>
  <si>
    <t>Homringhausen, Tanja</t>
  </si>
  <si>
    <t>Verwerver</t>
  </si>
  <si>
    <t>Hosny, Karim</t>
  </si>
  <si>
    <t>Lugtigheid, Dennis</t>
  </si>
  <si>
    <t>Acc. manager</t>
  </si>
  <si>
    <t>Voorpostel, Bastiaan</t>
  </si>
  <si>
    <t>ASP</t>
  </si>
  <si>
    <t>6102V2</t>
  </si>
  <si>
    <t>Other, zie comments</t>
  </si>
  <si>
    <t>Eltec PSU</t>
  </si>
  <si>
    <t>3 sectoren voor L3500</t>
  </si>
  <si>
    <t>Type Diplexer</t>
  </si>
  <si>
    <t>Filter</t>
  </si>
  <si>
    <t>Commscope RRZZHHTT-65A-R7N43F (1.6)</t>
  </si>
  <si>
    <t>Nieuwe Fiber verbinding, omschrijf moeilijkheden in het trace, bv koven openen/sluiten.</t>
  </si>
  <si>
    <t>Fabriek, silo</t>
  </si>
  <si>
    <t>Mast derden</t>
  </si>
  <si>
    <t>Mast OLO</t>
  </si>
  <si>
    <t>Cellnex</t>
  </si>
  <si>
    <t>Anders</t>
  </si>
  <si>
    <t xml:space="preserve">KPN </t>
  </si>
  <si>
    <t>Nieuwe mast</t>
  </si>
  <si>
    <t>Mast Vodafone</t>
  </si>
  <si>
    <t>4.5</t>
  </si>
  <si>
    <t>EvdM</t>
  </si>
  <si>
    <t>Wijziging</t>
  </si>
  <si>
    <t>Door</t>
  </si>
  <si>
    <t>WW &amp; EvdM</t>
  </si>
  <si>
    <t>4.6</t>
  </si>
  <si>
    <t>Datum</t>
  </si>
  <si>
    <t>Revisienr</t>
  </si>
  <si>
    <t>Extra rectifiers 6150</t>
  </si>
  <si>
    <t>Bij 3.5GHz altijd 6   (4+2)
Bij 105Mhz altijd 5 (4+1)
Anders 4                  (4+0)</t>
  </si>
  <si>
    <t>Hoogte altijd bovenzijde gelijk of hoger dan de 2L6H antennes.</t>
  </si>
  <si>
    <t>36.4f</t>
  </si>
  <si>
    <t>36.14f</t>
  </si>
  <si>
    <t>Extra rectifiers 6150 gebaseerd op scope, Upgrade verwijzing tekeningen met Huawei antennes gebaseerd op VFZ guideline 2.6. De licht roze cellen bevatten formules.</t>
  </si>
  <si>
    <t>tek van 36.11b gebruiken (koptekst en antenne type  aanpassen)</t>
  </si>
  <si>
    <t>tek van 36.11f gebruiken (koptekst en antenne type  aanpassen)</t>
  </si>
  <si>
    <t>tek van 36.13b gebruiken (koptekst en antenne type  aanpassen)</t>
  </si>
  <si>
    <t>tek van 36.13d gebruiken (koptekst en antenne type  aanpassen)</t>
  </si>
  <si>
    <t>tek van 36.13f gebruiken (koptekst en antenne type  aanpassen)</t>
  </si>
  <si>
    <t>tek van 36.14b gebruiken (koptekst en antenne type  aanpassen)</t>
  </si>
  <si>
    <t>tek van 36.15d gebruiken (koptekst en antenne type  aanpassen)</t>
  </si>
  <si>
    <t>tek van 36.16b gebruiken (koptekst en antenne type  aanpassen)</t>
  </si>
  <si>
    <t>Opmerking standaard tek</t>
  </si>
  <si>
    <t>Opm Tekening</t>
  </si>
  <si>
    <t>Excel 36.31b</t>
  </si>
  <si>
    <t>Excel 36.31f</t>
  </si>
  <si>
    <t>Excel 36.31d</t>
  </si>
  <si>
    <t>Excel 36.33b</t>
  </si>
  <si>
    <t>Excel 36.33d</t>
  </si>
  <si>
    <t>Excel 36.33f</t>
  </si>
  <si>
    <t>Excel 36.34b</t>
  </si>
  <si>
    <t>Excel 36.34f</t>
  </si>
  <si>
    <t>Excel 36.35d</t>
  </si>
  <si>
    <t>Excel 36.36b</t>
  </si>
  <si>
    <t>tek van 36.11d gebruiken (koptekst en antenne type  aanpassen)</t>
  </si>
  <si>
    <t xml:space="preserve"> tek van 36.14d gebruiken (koptekst en antennetype aanpassen)</t>
  </si>
  <si>
    <t>36.34d</t>
  </si>
  <si>
    <t>105MHz 4x4  - Commscope 2.8m - 2 x 6630</t>
  </si>
  <si>
    <t>105MHz 4x4  - Commscope 2.1m - 2 x 6630</t>
  </si>
  <si>
    <t>105MHz 4x4  - Commscope 1.6m - 2 x 6630</t>
  </si>
  <si>
    <t>75MHz 4x4  - Commscope 2.8m - 6631</t>
  </si>
  <si>
    <t>75MHz 4x4  - Commscope 2.1m - 6631</t>
  </si>
  <si>
    <t>75MHz 4x4  - Commscope 1.6m - 6631</t>
  </si>
  <si>
    <t>75MHz 4x4  - Commscope 2.8m - 2 x 6630</t>
  </si>
  <si>
    <t>75MHz 4x4  - Commscope 2.1m - 2 x 6630</t>
  </si>
  <si>
    <t>75MHz 4x4  - Commscope 1.6m - 2 x 6630</t>
  </si>
  <si>
    <t>75MHz 2x2  - Commscope 2.8m - 2 x 6630</t>
  </si>
  <si>
    <t>75MHz 2x2  - Commscope 2.1m - 2 x 6630</t>
  </si>
  <si>
    <t>75MHz 2x2  - Commscope 1.6m - 2 x 6630</t>
  </si>
  <si>
    <t>75MHz 2x2  - Commscope 2.8m - 6631</t>
  </si>
  <si>
    <t>75 MHz 2x2 - Commscope 1.6m -  6631</t>
  </si>
  <si>
    <t>75MHz 2x2  - Commscope 2.1m - 6631</t>
  </si>
  <si>
    <t>60MHz 4x4  - Commscope 2.8m - 6630</t>
  </si>
  <si>
    <t>60MHz 4x4  - Commscope 2.8m - 6631</t>
  </si>
  <si>
    <t>60MHz 4x4  - Commscope 2.1m - 6631</t>
  </si>
  <si>
    <t>60MHz 4x4  - Commscope 1.6m - 6631</t>
  </si>
  <si>
    <t>60MHz 2x2  - Commscope 2.8m - 6630</t>
  </si>
  <si>
    <t>60MHz 2x2  - Commscope 2.1m - 6630</t>
  </si>
  <si>
    <t>60MHz 2x2  - Commscope 1.6m - 6630</t>
  </si>
  <si>
    <t>tek van 36.14f gebruiken (koptekst en antennetype aanpassen)</t>
  </si>
  <si>
    <t>4.7</t>
  </si>
  <si>
    <t>EMF status</t>
  </si>
  <si>
    <t>EMF</t>
  </si>
  <si>
    <t>Site_EMF_Approved</t>
  </si>
  <si>
    <t>Site_EMF_Rejected</t>
  </si>
  <si>
    <t>Site_is_not_checked</t>
  </si>
  <si>
    <t>(zijn alle sleutels aanwezig? Klopt het toegangsprotocol? Zo niet dan vermelden, SEN moet het aan laten passen op de FOP via enn.site.information@ericsson.com.)</t>
  </si>
  <si>
    <t>Batterijen</t>
  </si>
  <si>
    <t>Li-Ion  batterijen</t>
  </si>
  <si>
    <t>7c. Is er extra camerabewaking nodig voor de rijplaten?</t>
  </si>
  <si>
    <t>(Omschrijf hoe logistiek kan leveren, is er een kraan/hoogwerker nodig en waar is de positie?)</t>
  </si>
  <si>
    <t>14b. Is er extra camerabewaking nodig voor de rijplaten?</t>
  </si>
  <si>
    <t>14a. Zijn er rijplaten nodig? Zo ja hoeveel en waar moeten ze gelegd worden?</t>
  </si>
  <si>
    <t>Hoogte (m) t.o.v. dak</t>
  </si>
  <si>
    <t>Diameter {cm}</t>
  </si>
  <si>
    <t>Dish</t>
  </si>
  <si>
    <t>Toevoeging tek nrs Commscope 1,6m antennes, tekst 4.b, EMF informatie en inventarisatie batterijen (regel 32-36).</t>
  </si>
  <si>
    <t>Upgrade ivm VFZ guidelines 2.59
Scope-Tekening verwijzing, Air 3278 antenne, mast OLO-VF-derden.</t>
  </si>
  <si>
    <t>Lead batterijen</t>
  </si>
  <si>
    <t>Batterijen in een kast die blijft staan.</t>
  </si>
  <si>
    <t>LEAD batterijen in kast die weg moet.</t>
  </si>
  <si>
    <t>Li-Ion batterijen in een kast die weg moet.</t>
  </si>
  <si>
    <t>Kast incl. batterijen afvoeren.</t>
  </si>
  <si>
    <t>Geen actie.</t>
  </si>
  <si>
    <t>4.8</t>
  </si>
  <si>
    <t>Toegevoegd Fred Bronmans en Genno Woerlee.</t>
  </si>
  <si>
    <t>Bronmans, Fred</t>
  </si>
  <si>
    <t>4.9</t>
  </si>
  <si>
    <t>5G</t>
  </si>
  <si>
    <t>Huizinga, Ronald</t>
  </si>
  <si>
    <t>Moeliker, Joep</t>
  </si>
  <si>
    <t>L0700 aangepast naar 5G0700, toegevoegd 3 verwervers.</t>
  </si>
  <si>
    <t>4.10</t>
  </si>
  <si>
    <t>BB6631</t>
  </si>
  <si>
    <t>Odido</t>
  </si>
  <si>
    <t>Verplaatsen MPO connector door ASP</t>
  </si>
  <si>
    <t>Verplaatsing apparatuur door TX team</t>
  </si>
  <si>
    <t>Dynamica</t>
  </si>
  <si>
    <t>Toegevoegd Radio 4490, verwijderd Radio 4480, BB6630 verwijderd, BB6631 toegevoegd. Toegevoegd: Transmissie vraag om MPO connector te verplaatsen.</t>
  </si>
  <si>
    <t>Verplaatsen dish(es) door Tx team</t>
  </si>
  <si>
    <t>aantal dishes</t>
  </si>
  <si>
    <t>Seldenthuis, Hans</t>
  </si>
  <si>
    <t>Opdorp van, JP</t>
  </si>
  <si>
    <t>Sewradj, Vijayanand</t>
  </si>
  <si>
    <t>RC6651</t>
  </si>
  <si>
    <t>ZHM</t>
  </si>
  <si>
    <t>60</t>
  </si>
  <si>
    <t>180</t>
  </si>
  <si>
    <t>300</t>
  </si>
  <si>
    <t>15.7</t>
  </si>
  <si>
    <t>Lazrag, Benaissa</t>
  </si>
  <si>
    <t>Spaan, Erik</t>
  </si>
  <si>
    <t xml:space="preserve">Mahaboeb, Ibrahim </t>
  </si>
  <si>
    <t xml:space="preserve">Faeber, Rayen </t>
  </si>
  <si>
    <t>Heres, Maarten</t>
  </si>
  <si>
    <t>Olejnik, Tobias</t>
  </si>
  <si>
    <t>Maly, Martin</t>
  </si>
  <si>
    <t xml:space="preserve">Circet Telecom </t>
  </si>
  <si>
    <t>4.11</t>
  </si>
  <si>
    <t>Nieuwe SEN's RPE's</t>
  </si>
  <si>
    <t>Commscope RRZZ-33D-R4</t>
  </si>
  <si>
    <t>4.12</t>
  </si>
  <si>
    <t>AIR3258</t>
  </si>
  <si>
    <t>Commscope RRZZHHTT-65B-R7N43 (2.1)</t>
  </si>
  <si>
    <t>Derrez, Ischa</t>
  </si>
  <si>
    <t>Kos, Lennaert</t>
  </si>
  <si>
    <t>Nicolai, Norbert</t>
  </si>
  <si>
    <t>Kuil, van der , Bart</t>
  </si>
  <si>
    <t>Power 6210</t>
  </si>
  <si>
    <t>Nieuwe Commscope antennes (Mosaic en 33 graden), AIR 3278, Power 6210, aanpassing namen SEN en verwervers</t>
  </si>
  <si>
    <t>AIR3258 achter Mosaic</t>
  </si>
  <si>
    <t>36.3h</t>
  </si>
  <si>
    <t>Sunrise 3.1 scope</t>
  </si>
  <si>
    <t>4.13</t>
  </si>
  <si>
    <t>Habets, Michael</t>
  </si>
  <si>
    <t>Middenband</t>
  </si>
  <si>
    <t>TX unit type bestaande site</t>
  </si>
  <si>
    <t>SIU</t>
  </si>
  <si>
    <t>Router 6471</t>
  </si>
  <si>
    <t>Router 6672</t>
  </si>
  <si>
    <t>Router nieuwe site</t>
  </si>
  <si>
    <t>Tx unit</t>
  </si>
  <si>
    <t>Lage band</t>
  </si>
  <si>
    <t>Midden band</t>
  </si>
  <si>
    <t>Hoge band</t>
  </si>
  <si>
    <t>5.  Gewenste configuratie</t>
  </si>
  <si>
    <t>Parent-Child config</t>
  </si>
  <si>
    <t>Child sitenummer</t>
  </si>
  <si>
    <t>Indien het een Parent-Child config is voor beide sites een TSS rapport maken.</t>
  </si>
  <si>
    <t>S17123</t>
  </si>
  <si>
    <t>Ja</t>
  </si>
  <si>
    <t>Nee</t>
  </si>
  <si>
    <t>105MHZ 4x4 + 3.5GHz - Commscope 2.8 m Mosaic +AIR 32xx</t>
  </si>
  <si>
    <t>75MHz 4x4 + 3.5GHz - Commscope 2.8 m Mosaic +AIR 32xx</t>
  </si>
  <si>
    <t>Ericsson-Duvekot</t>
  </si>
  <si>
    <t>Ericsson-INSSO</t>
  </si>
  <si>
    <t>Ericsson-Vamea</t>
  </si>
  <si>
    <t>Tek verwijzing Commscope Mosaic, bestaande configs uitgebreid met 4020 en 4490. TX unit. Parent-Child. Enkele formules.</t>
  </si>
  <si>
    <t>7b. Zijn er rijplaten nodig? Zo ja hoeveel en waar moeten ze gelegd worden?</t>
  </si>
  <si>
    <t>4.14</t>
  </si>
  <si>
    <t>AIR 3278 vervallen, AIR 3258 als enkele selecteerbare antenne toegevoegd.</t>
  </si>
  <si>
    <t>4.15</t>
  </si>
  <si>
    <t>BB6651</t>
  </si>
  <si>
    <t>Althio</t>
  </si>
  <si>
    <t>Turris - NMS</t>
  </si>
  <si>
    <t>Commscope Mosaic (2,1m)  RRZZHHTT-65B-R6-U</t>
  </si>
  <si>
    <t>Commscope Mosaic (2,8m) RRYYV4-65D-R6-U</t>
  </si>
  <si>
    <t>RC6655</t>
  </si>
  <si>
    <t>BBU 6618</t>
  </si>
  <si>
    <t>BBU 6613</t>
  </si>
  <si>
    <t>105MHZ 4x4 + 3.5GHz - Commscope 2.1 m Mosaic +AIR 32xx</t>
  </si>
  <si>
    <t>Zelf maken</t>
  </si>
  <si>
    <t>1400 filter</t>
  </si>
  <si>
    <t>TMA/filter</t>
  </si>
  <si>
    <t>105MHz 4x4 + 3.5GHz - Commscope 2.8m + AIR32xx - 6651/6655</t>
  </si>
  <si>
    <t>105MHz 4x4 + 3.5GHz - Commscope 1.6m + AIR32xx - 6651/6655</t>
  </si>
  <si>
    <t>105MHz 4x4 + 3.5GHz - Commscope 2.1m + AIR32xx - 6651/6655</t>
  </si>
  <si>
    <t>105MHz 4x4  - Commscope 1.6m - 6651/6655</t>
  </si>
  <si>
    <t>105MHz 4x4  - Commscope 2.8m - 6651/6655</t>
  </si>
  <si>
    <t>105MHz 4x4  - Commscope 2.1m - 6651/6655</t>
  </si>
  <si>
    <t>75MHz 4x4 + 3.5GHz - Commscope 2.8m + AIR32xx - 6651/6655</t>
  </si>
  <si>
    <t>75MHz 4x4 + 3.5GHz - Commscope 2.1m + AIR32xx - 6651/6655</t>
  </si>
  <si>
    <t>75MHz 4x4 + 3.5GHz - Commscope 1.6m + AIR32xx - 6651/6655</t>
  </si>
  <si>
    <t>60MHz 4x4 + 3.5GHz - Commscope 2.8m + AIR 32xx - 6651/6655</t>
  </si>
  <si>
    <t>60MHz 4x4 + 3.5GHz - Commscope 2.1m + AIR 32xx - 6651/6655</t>
  </si>
  <si>
    <t>60MHz 4x4 + 3.5GHz - Commscope 1.6m + AIR32xx - 6651/6655</t>
  </si>
  <si>
    <t>Commscope buis GGGO310R3</t>
  </si>
  <si>
    <t>RP6655, Mosaic antenne 2,10m, Prep 2600 vervallen, niet te gebruiken antennes en configuraties opgeschoond.</t>
  </si>
  <si>
    <t>4.16</t>
  </si>
  <si>
    <t>Octalon</t>
  </si>
  <si>
    <t>Informeer Battery project team. Zij halen de 6613 weg voor herinzet.</t>
  </si>
  <si>
    <t>Altijd plaatsen bij een nieuwe enclosure.</t>
  </si>
  <si>
    <t>37.1a</t>
  </si>
  <si>
    <t>37.1a aanpassen</t>
  </si>
  <si>
    <t>37.1b aanpassen</t>
  </si>
  <si>
    <t>37.1c aanpassen</t>
  </si>
  <si>
    <t xml:space="preserve">37.1c </t>
  </si>
  <si>
    <t>105MHZ 4x4 + 3.5GHz - Commscope 1.6 m Mosaic +AIR 32xx</t>
  </si>
  <si>
    <t xml:space="preserve">37.1b </t>
  </si>
  <si>
    <t>Tekening Commscope Mosaic 2.10 en 1.6m, ASP, Batterijen 6618 bij nieuwe Enclosures.</t>
  </si>
  <si>
    <t>4.17</t>
  </si>
  <si>
    <t>Mechanical tilt</t>
  </si>
  <si>
    <t>20</t>
  </si>
  <si>
    <t>Check EMF on site</t>
  </si>
  <si>
    <t>105MHZ 4x4 - Commscope 2.8 m Mosaic ( zonder 5G3500), BB6631</t>
  </si>
  <si>
    <t>105MHZ 4x4 - Commscope 2.1 m Mosaic ( zonder 5G3500),BB6631</t>
  </si>
  <si>
    <t>105MHZ 4x4 - Commscope 1.6 m Mosaic ( zonder 5G3500),BB6631</t>
  </si>
  <si>
    <t>75MHZ 4x4 - Commscope 2.8 m Mosaic (zonder 5G3500), BB6631</t>
  </si>
  <si>
    <t>75MHZ 4x4 - Commscope 2.1 m Mosaic (met/zonder 5G3500), BB6631</t>
  </si>
  <si>
    <t>75MHZ 4x4 - Commscope 1.6 m Mosaic (met/zonder 5G3500), BB6631</t>
  </si>
  <si>
    <t>Verhoeff, Patrick</t>
  </si>
  <si>
    <t>Dormans, Dennis</t>
  </si>
  <si>
    <t>Spanjers, Axel</t>
  </si>
  <si>
    <t>Noordam, Rutger</t>
  </si>
  <si>
    <t>Kerkhoff, Mark</t>
  </si>
  <si>
    <t>Kuipers, Marc</t>
  </si>
  <si>
    <t xml:space="preserve">Michelon, David </t>
  </si>
  <si>
    <t>Tiltbracket AIR3258, namen engineers</t>
  </si>
  <si>
    <t>KPN/Althio</t>
  </si>
  <si>
    <t>4.18</t>
  </si>
  <si>
    <t>Bestaand aansluitschema  + 3,5GHz met AIR32xx - 6651/6655</t>
  </si>
  <si>
    <t>Schoonheidsfoutjes verholpen. Tabel nieuw antennetype 1 extra regel, bestaande radio 2012 kunnen handhaven.</t>
  </si>
  <si>
    <t>4.19</t>
  </si>
  <si>
    <t>Router 6671</t>
  </si>
  <si>
    <t>Altijd plaatsen bij een nieuw enclosure.</t>
  </si>
  <si>
    <t>Rectifiers 6150</t>
  </si>
  <si>
    <t>Rectifiers</t>
  </si>
  <si>
    <t>28</t>
  </si>
  <si>
    <t>3xBBU 6618</t>
  </si>
  <si>
    <t>Toegevoegd:Router 6671, velden bestaande situatie met 5G3500  toegevoegd.</t>
  </si>
  <si>
    <t>4.20</t>
  </si>
  <si>
    <t>Toegevoegd Radio 4471, vervangt Radio 4415 op B7 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</si>
</sst>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4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2060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1"/>
      <color rgb="FFFF0000"/>
      <name val="Calibri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9">
    <xf numFmtId="0" fontId="0" fillId="0" borderId="0" xfId="0"/>
    <xf numFmtId="0" fontId="4" fillId="0" borderId="0" xfId="0" applyFont="1"/>
    <xf numFmtId="49" fontId="7" fillId="0" borderId="0" xfId="0" applyNumberFormat="1" applyFont="1" applyProtection="1">
      <protection locked="0"/>
    </xf>
    <xf numFmtId="0" fontId="0" fillId="0" borderId="0" xfId="0" applyAlignment="1">
      <alignment horizontal="left"/>
    </xf>
    <xf numFmtId="0" fontId="14" fillId="0" borderId="0" xfId="0" applyFont="1"/>
    <xf numFmtId="49" fontId="8" fillId="0" borderId="1" xfId="0" applyNumberFormat="1" applyFont="1" applyBorder="1" applyAlignment="1" applyProtection="1">
      <alignment horizontal="left"/>
      <protection locked="0"/>
    </xf>
    <xf numFmtId="49" fontId="8" fillId="2" borderId="7" xfId="0" applyNumberFormat="1" applyFont="1" applyFill="1" applyBorder="1" applyAlignment="1" applyProtection="1">
      <alignment horizontal="center"/>
      <protection locked="0"/>
    </xf>
    <xf numFmtId="49" fontId="8" fillId="2" borderId="4" xfId="0" applyNumberFormat="1" applyFont="1" applyFill="1" applyBorder="1" applyAlignment="1" applyProtection="1">
      <alignment horizontal="center"/>
      <protection locked="0"/>
    </xf>
    <xf numFmtId="49" fontId="6" fillId="0" borderId="0" xfId="0" applyNumberFormat="1" applyFont="1" applyProtection="1">
      <protection locked="0"/>
    </xf>
    <xf numFmtId="49" fontId="3" fillId="0" borderId="0" xfId="0" applyNumberFormat="1" applyFont="1" applyProtection="1">
      <protection locked="0"/>
    </xf>
    <xf numFmtId="49" fontId="6" fillId="0" borderId="1" xfId="0" applyNumberFormat="1" applyFont="1" applyBorder="1" applyProtection="1">
      <protection locked="0"/>
    </xf>
    <xf numFmtId="49" fontId="6" fillId="2" borderId="7" xfId="0" applyNumberFormat="1" applyFont="1" applyFill="1" applyBorder="1" applyAlignment="1" applyProtection="1">
      <alignment horizontal="center" wrapText="1"/>
      <protection locked="0"/>
    </xf>
    <xf numFmtId="49" fontId="12" fillId="2" borderId="7" xfId="0" applyNumberFormat="1" applyFont="1" applyFill="1" applyBorder="1" applyAlignment="1" applyProtection="1">
      <alignment horizontal="center" wrapText="1"/>
      <protection locked="0"/>
    </xf>
    <xf numFmtId="49" fontId="3" fillId="2" borderId="7" xfId="0" applyNumberFormat="1" applyFont="1" applyFill="1" applyBorder="1" applyAlignment="1" applyProtection="1">
      <alignment horizontal="center" wrapText="1"/>
      <protection locked="0"/>
    </xf>
    <xf numFmtId="49" fontId="6" fillId="0" borderId="0" xfId="0" applyNumberFormat="1" applyFont="1" applyAlignment="1" applyProtection="1">
      <alignment horizontal="center" wrapText="1"/>
      <protection locked="0"/>
    </xf>
    <xf numFmtId="49" fontId="3" fillId="2" borderId="7" xfId="0" applyNumberFormat="1" applyFont="1" applyFill="1" applyBorder="1" applyProtection="1">
      <protection locked="0"/>
    </xf>
    <xf numFmtId="49" fontId="6" fillId="2" borderId="7" xfId="0" applyNumberFormat="1" applyFont="1" applyFill="1" applyBorder="1" applyProtection="1">
      <protection locked="0"/>
    </xf>
    <xf numFmtId="49" fontId="8" fillId="2" borderId="7" xfId="0" applyNumberFormat="1" applyFont="1" applyFill="1" applyBorder="1" applyAlignment="1" applyProtection="1">
      <alignment horizontal="center"/>
      <protection locked="0" hidden="1"/>
    </xf>
    <xf numFmtId="49" fontId="7" fillId="0" borderId="0" xfId="0" applyNumberFormat="1" applyFont="1" applyAlignment="1" applyProtection="1">
      <alignment horizontal="center" wrapText="1"/>
      <protection locked="0"/>
    </xf>
    <xf numFmtId="49" fontId="3" fillId="2" borderId="7" xfId="0" applyNumberFormat="1" applyFont="1" applyFill="1" applyBorder="1" applyAlignment="1" applyProtection="1">
      <alignment horizontal="left" wrapText="1"/>
      <protection locked="0"/>
    </xf>
    <xf numFmtId="49" fontId="10" fillId="0" borderId="0" xfId="0" applyNumberFormat="1" applyFont="1" applyProtection="1">
      <protection locked="0"/>
    </xf>
    <xf numFmtId="49" fontId="9" fillId="0" borderId="0" xfId="0" applyNumberFormat="1" applyFont="1" applyAlignment="1" applyProtection="1">
      <alignment vertical="top"/>
      <protection locked="0"/>
    </xf>
    <xf numFmtId="49" fontId="8" fillId="0" borderId="0" xfId="0" applyNumberFormat="1" applyFon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49" fontId="3" fillId="2" borderId="4" xfId="0" applyNumberFormat="1" applyFont="1" applyFill="1" applyBorder="1" applyProtection="1">
      <protection locked="0"/>
    </xf>
    <xf numFmtId="49" fontId="0" fillId="0" borderId="7" xfId="0" applyNumberFormat="1" applyBorder="1" applyProtection="1">
      <protection locked="0"/>
    </xf>
    <xf numFmtId="49" fontId="7" fillId="0" borderId="7" xfId="0" applyNumberFormat="1" applyFont="1" applyBorder="1" applyProtection="1">
      <protection locked="0"/>
    </xf>
    <xf numFmtId="49" fontId="3" fillId="2" borderId="3" xfId="0" applyNumberFormat="1" applyFont="1" applyFill="1" applyBorder="1" applyProtection="1">
      <protection locked="0"/>
    </xf>
    <xf numFmtId="49" fontId="7" fillId="2" borderId="2" xfId="0" applyNumberFormat="1" applyFont="1" applyFill="1" applyBorder="1" applyProtection="1">
      <protection locked="0"/>
    </xf>
    <xf numFmtId="49" fontId="7" fillId="2" borderId="4" xfId="0" applyNumberFormat="1" applyFont="1" applyFill="1" applyBorder="1" applyProtection="1">
      <protection locked="0"/>
    </xf>
    <xf numFmtId="49" fontId="0" fillId="2" borderId="11" xfId="0" applyNumberFormat="1" applyFill="1" applyBorder="1" applyProtection="1">
      <protection locked="0"/>
    </xf>
    <xf numFmtId="49" fontId="0" fillId="2" borderId="7" xfId="0" applyNumberFormat="1" applyFill="1" applyBorder="1" applyProtection="1">
      <protection locked="0"/>
    </xf>
    <xf numFmtId="49" fontId="7" fillId="2" borderId="7" xfId="0" applyNumberFormat="1" applyFont="1" applyFill="1" applyBorder="1" applyProtection="1">
      <protection locked="0"/>
    </xf>
    <xf numFmtId="49" fontId="0" fillId="2" borderId="2" xfId="0" applyNumberFormat="1" applyFill="1" applyBorder="1" applyProtection="1">
      <protection locked="0"/>
    </xf>
    <xf numFmtId="49" fontId="0" fillId="2" borderId="4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49" fontId="0" fillId="2" borderId="9" xfId="0" applyNumberFormat="1" applyFill="1" applyBorder="1" applyProtection="1">
      <protection locked="0"/>
    </xf>
    <xf numFmtId="49" fontId="0" fillId="2" borderId="3" xfId="0" applyNumberFormat="1" applyFill="1" applyBorder="1" applyProtection="1">
      <protection locked="0"/>
    </xf>
    <xf numFmtId="49" fontId="3" fillId="2" borderId="6" xfId="0" applyNumberFormat="1" applyFont="1" applyFill="1" applyBorder="1" applyProtection="1">
      <protection locked="0"/>
    </xf>
    <xf numFmtId="49" fontId="0" fillId="2" borderId="5" xfId="0" applyNumberFormat="1" applyFill="1" applyBorder="1" applyProtection="1">
      <protection locked="0"/>
    </xf>
    <xf numFmtId="49" fontId="3" fillId="2" borderId="10" xfId="0" applyNumberFormat="1" applyFont="1" applyFill="1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49" fontId="3" fillId="2" borderId="2" xfId="0" applyNumberFormat="1" applyFont="1" applyFill="1" applyBorder="1" applyProtection="1">
      <protection locked="0"/>
    </xf>
    <xf numFmtId="49" fontId="3" fillId="2" borderId="12" xfId="0" applyNumberFormat="1" applyFont="1" applyFill="1" applyBorder="1" applyProtection="1">
      <protection locked="0"/>
    </xf>
    <xf numFmtId="49" fontId="0" fillId="2" borderId="12" xfId="0" applyNumberFormat="1" applyFill="1" applyBorder="1" applyProtection="1">
      <protection locked="0"/>
    </xf>
    <xf numFmtId="0" fontId="3" fillId="2" borderId="2" xfId="0" applyFont="1" applyFill="1" applyBorder="1"/>
    <xf numFmtId="0" fontId="3" fillId="2" borderId="4" xfId="0" applyFont="1" applyFill="1" applyBorder="1"/>
    <xf numFmtId="49" fontId="7" fillId="2" borderId="10" xfId="0" applyNumberFormat="1" applyFont="1" applyFill="1" applyBorder="1" applyProtection="1">
      <protection locked="0"/>
    </xf>
    <xf numFmtId="49" fontId="7" fillId="2" borderId="6" xfId="0" applyNumberFormat="1" applyFont="1" applyFill="1" applyBorder="1" applyProtection="1">
      <protection locked="0"/>
    </xf>
    <xf numFmtId="49" fontId="7" fillId="2" borderId="9" xfId="0" applyNumberFormat="1" applyFont="1" applyFill="1" applyBorder="1" applyProtection="1">
      <protection locked="0"/>
    </xf>
    <xf numFmtId="49" fontId="7" fillId="2" borderId="1" xfId="0" applyNumberFormat="1" applyFont="1" applyFill="1" applyBorder="1" applyProtection="1">
      <protection locked="0"/>
    </xf>
    <xf numFmtId="49" fontId="3" fillId="2" borderId="11" xfId="0" applyNumberFormat="1" applyFont="1" applyFill="1" applyBorder="1" applyProtection="1">
      <protection locked="0"/>
    </xf>
    <xf numFmtId="49" fontId="7" fillId="3" borderId="0" xfId="0" applyNumberFormat="1" applyFont="1" applyFill="1" applyProtection="1">
      <protection locked="0"/>
    </xf>
    <xf numFmtId="49" fontId="0" fillId="0" borderId="3" xfId="0" applyNumberFormat="1" applyBorder="1" applyProtection="1">
      <protection locked="0"/>
    </xf>
    <xf numFmtId="49" fontId="7" fillId="0" borderId="2" xfId="0" applyNumberFormat="1" applyFont="1" applyBorder="1" applyProtection="1">
      <protection locked="0"/>
    </xf>
    <xf numFmtId="49" fontId="7" fillId="0" borderId="4" xfId="0" applyNumberFormat="1" applyFont="1" applyBorder="1" applyProtection="1">
      <protection locked="0"/>
    </xf>
    <xf numFmtId="49" fontId="7" fillId="3" borderId="7" xfId="0" applyNumberFormat="1" applyFont="1" applyFill="1" applyBorder="1" applyProtection="1">
      <protection locked="0"/>
    </xf>
    <xf numFmtId="49" fontId="7" fillId="2" borderId="11" xfId="0" applyNumberFormat="1" applyFont="1" applyFill="1" applyBorder="1" applyProtection="1">
      <protection locked="0"/>
    </xf>
    <xf numFmtId="49" fontId="0" fillId="3" borderId="0" xfId="0" applyNumberFormat="1" applyFill="1" applyProtection="1">
      <protection locked="0"/>
    </xf>
    <xf numFmtId="49" fontId="3" fillId="3" borderId="0" xfId="0" applyNumberFormat="1" applyFont="1" applyFill="1" applyProtection="1">
      <protection locked="0"/>
    </xf>
    <xf numFmtId="49" fontId="3" fillId="0" borderId="7" xfId="0" applyNumberFormat="1" applyFont="1" applyBorder="1" applyProtection="1">
      <protection locked="0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49" fontId="7" fillId="0" borderId="9" xfId="0" applyNumberFormat="1" applyFont="1" applyBorder="1" applyProtection="1">
      <protection locked="0"/>
    </xf>
    <xf numFmtId="49" fontId="3" fillId="2" borderId="8" xfId="0" applyNumberFormat="1" applyFont="1" applyFill="1" applyBorder="1" applyProtection="1">
      <protection locked="0"/>
    </xf>
    <xf numFmtId="49" fontId="7" fillId="2" borderId="12" xfId="0" applyNumberFormat="1" applyFont="1" applyFill="1" applyBorder="1" applyProtection="1">
      <protection locked="0"/>
    </xf>
    <xf numFmtId="49" fontId="3" fillId="2" borderId="7" xfId="0" applyNumberFormat="1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wrapText="1"/>
    </xf>
    <xf numFmtId="0" fontId="3" fillId="2" borderId="7" xfId="0" applyFont="1" applyFill="1" applyBorder="1"/>
    <xf numFmtId="49" fontId="0" fillId="0" borderId="4" xfId="0" applyNumberFormat="1" applyBorder="1" applyProtection="1">
      <protection locked="0"/>
    </xf>
    <xf numFmtId="49" fontId="8" fillId="2" borderId="2" xfId="0" applyNumberFormat="1" applyFont="1" applyFill="1" applyBorder="1" applyAlignment="1" applyProtection="1">
      <alignment horizontal="left" wrapText="1"/>
      <protection locked="0"/>
    </xf>
    <xf numFmtId="49" fontId="8" fillId="2" borderId="1" xfId="0" applyNumberFormat="1" applyFont="1" applyFill="1" applyBorder="1" applyAlignment="1" applyProtection="1">
      <alignment horizontal="left" wrapText="1"/>
      <protection locked="0"/>
    </xf>
    <xf numFmtId="49" fontId="11" fillId="0" borderId="0" xfId="0" applyNumberFormat="1" applyFont="1" applyAlignment="1" applyProtection="1">
      <alignment horizontal="left"/>
      <protection locked="0"/>
    </xf>
    <xf numFmtId="49" fontId="8" fillId="2" borderId="0" xfId="0" applyNumberFormat="1" applyFont="1" applyFill="1" applyAlignment="1" applyProtection="1">
      <alignment horizontal="left"/>
      <protection locked="0"/>
    </xf>
    <xf numFmtId="49" fontId="22" fillId="0" borderId="0" xfId="0" applyNumberFormat="1" applyFont="1" applyAlignment="1" applyProtection="1">
      <alignment horizontal="left"/>
      <protection locked="0"/>
    </xf>
    <xf numFmtId="49" fontId="13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 vertical="center" wrapText="1"/>
    </xf>
    <xf numFmtId="0" fontId="0" fillId="3" borderId="0" xfId="0" applyFill="1"/>
    <xf numFmtId="49" fontId="8" fillId="3" borderId="0" xfId="0" applyNumberFormat="1" applyFont="1" applyFill="1" applyAlignment="1" applyProtection="1">
      <alignment horizontal="left"/>
      <protection locked="0"/>
    </xf>
    <xf numFmtId="0" fontId="0" fillId="0" borderId="0" xfId="0" applyAlignment="1">
      <alignment horizontal="right"/>
    </xf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wrapText="1"/>
    </xf>
    <xf numFmtId="49" fontId="8" fillId="2" borderId="2" xfId="0" applyNumberFormat="1" applyFont="1" applyFill="1" applyBorder="1" applyAlignment="1" applyProtection="1">
      <alignment horizontal="left"/>
      <protection locked="0"/>
    </xf>
    <xf numFmtId="49" fontId="8" fillId="2" borderId="1" xfId="0" applyNumberFormat="1" applyFont="1" applyFill="1" applyBorder="1" applyAlignment="1" applyProtection="1">
      <alignment horizontal="left"/>
      <protection locked="0"/>
    </xf>
    <xf numFmtId="0" fontId="0" fillId="2" borderId="4" xfId="0" applyFill="1" applyBorder="1"/>
    <xf numFmtId="0" fontId="0" fillId="2" borderId="2" xfId="0" applyFill="1" applyBorder="1"/>
    <xf numFmtId="0" fontId="3" fillId="2" borderId="7" xfId="0" applyFont="1" applyFill="1" applyBorder="1" applyAlignment="1" applyProtection="1">
      <alignment horizontal="left" wrapText="1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49" fontId="6" fillId="2" borderId="7" xfId="0" applyNumberFormat="1" applyFont="1" applyFill="1" applyBorder="1" applyAlignment="1" applyProtection="1">
      <alignment horizontal="left"/>
      <protection locked="0"/>
    </xf>
    <xf numFmtId="49" fontId="7" fillId="0" borderId="8" xfId="0" applyNumberFormat="1" applyFont="1" applyBorder="1" applyProtection="1">
      <protection locked="0"/>
    </xf>
    <xf numFmtId="49" fontId="3" fillId="2" borderId="3" xfId="0" applyNumberFormat="1" applyFont="1" applyFill="1" applyBorder="1" applyAlignment="1" applyProtection="1">
      <alignment horizontal="center" wrapText="1"/>
      <protection locked="0"/>
    </xf>
    <xf numFmtId="49" fontId="8" fillId="2" borderId="3" xfId="0" applyNumberFormat="1" applyFont="1" applyFill="1" applyBorder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0" fontId="25" fillId="0" borderId="0" xfId="0" applyFont="1" applyAlignment="1">
      <alignment horizontal="left"/>
    </xf>
    <xf numFmtId="49" fontId="25" fillId="0" borderId="0" xfId="0" applyNumberFormat="1" applyFont="1" applyAlignment="1" applyProtection="1">
      <alignment horizontal="left"/>
      <protection locked="0"/>
    </xf>
    <xf numFmtId="1" fontId="8" fillId="2" borderId="7" xfId="0" applyNumberFormat="1" applyFont="1" applyFill="1" applyBorder="1" applyAlignment="1" applyProtection="1">
      <alignment horizontal="center"/>
      <protection locked="0"/>
    </xf>
    <xf numFmtId="49" fontId="25" fillId="0" borderId="0" xfId="0" applyNumberFormat="1" applyFont="1" applyProtection="1">
      <protection locked="0"/>
    </xf>
    <xf numFmtId="49" fontId="6" fillId="2" borderId="18" xfId="0" applyNumberFormat="1" applyFont="1" applyFill="1" applyBorder="1" applyAlignment="1" applyProtection="1">
      <alignment horizontal="center" wrapText="1"/>
      <protection locked="0"/>
    </xf>
    <xf numFmtId="49" fontId="3" fillId="2" borderId="19" xfId="0" applyNumberFormat="1" applyFont="1" applyFill="1" applyBorder="1" applyAlignment="1" applyProtection="1">
      <alignment horizontal="center" wrapText="1"/>
      <protection locked="0"/>
    </xf>
    <xf numFmtId="49" fontId="6" fillId="2" borderId="18" xfId="0" applyNumberFormat="1" applyFont="1" applyFill="1" applyBorder="1" applyProtection="1">
      <protection locked="0"/>
    </xf>
    <xf numFmtId="49" fontId="8" fillId="2" borderId="19" xfId="0" applyNumberFormat="1" applyFont="1" applyFill="1" applyBorder="1" applyAlignment="1" applyProtection="1">
      <alignment horizontal="center"/>
      <protection locked="0"/>
    </xf>
    <xf numFmtId="49" fontId="3" fillId="2" borderId="9" xfId="0" applyNumberFormat="1" applyFont="1" applyFill="1" applyBorder="1" applyAlignment="1" applyProtection="1">
      <alignment horizontal="center" wrapText="1"/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left"/>
      <protection locked="0"/>
    </xf>
    <xf numFmtId="49" fontId="16" fillId="0" borderId="0" xfId="0" applyNumberFormat="1" applyFont="1" applyProtection="1">
      <protection locked="0"/>
    </xf>
    <xf numFmtId="49" fontId="15" fillId="3" borderId="0" xfId="0" applyNumberFormat="1" applyFon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49" fontId="3" fillId="2" borderId="18" xfId="0" applyNumberFormat="1" applyFont="1" applyFill="1" applyBorder="1" applyAlignment="1" applyProtection="1">
      <alignment horizontal="center" wrapText="1"/>
      <protection locked="0"/>
    </xf>
    <xf numFmtId="49" fontId="3" fillId="2" borderId="22" xfId="0" applyNumberFormat="1" applyFont="1" applyFill="1" applyBorder="1" applyProtection="1">
      <protection locked="0"/>
    </xf>
    <xf numFmtId="49" fontId="15" fillId="2" borderId="7" xfId="0" applyNumberFormat="1" applyFont="1" applyFill="1" applyBorder="1" applyAlignment="1" applyProtection="1">
      <alignment horizontal="center"/>
      <protection locked="0"/>
    </xf>
    <xf numFmtId="49" fontId="15" fillId="2" borderId="19" xfId="0" applyNumberFormat="1" applyFont="1" applyFill="1" applyBorder="1" applyAlignment="1" applyProtection="1">
      <alignment horizontal="center"/>
      <protection locked="0"/>
    </xf>
    <xf numFmtId="49" fontId="3" fillId="2" borderId="18" xfId="0" applyNumberFormat="1" applyFont="1" applyFill="1" applyBorder="1" applyProtection="1">
      <protection locked="0"/>
    </xf>
    <xf numFmtId="49" fontId="3" fillId="2" borderId="20" xfId="0" applyNumberFormat="1" applyFont="1" applyFill="1" applyBorder="1" applyProtection="1">
      <protection locked="0"/>
    </xf>
    <xf numFmtId="49" fontId="15" fillId="2" borderId="23" xfId="0" applyNumberFormat="1" applyFont="1" applyFill="1" applyBorder="1" applyAlignment="1" applyProtection="1">
      <alignment horizontal="center"/>
      <protection locked="0"/>
    </xf>
    <xf numFmtId="49" fontId="15" fillId="2" borderId="21" xfId="0" applyNumberFormat="1" applyFont="1" applyFill="1" applyBorder="1" applyAlignment="1" applyProtection="1">
      <alignment horizontal="center"/>
      <protection locked="0"/>
    </xf>
    <xf numFmtId="49" fontId="3" fillId="0" borderId="3" xfId="0" applyNumberFormat="1" applyFont="1" applyBorder="1" applyAlignment="1" applyProtection="1">
      <alignment horizontal="left"/>
      <protection locked="0"/>
    </xf>
    <xf numFmtId="49" fontId="8" fillId="3" borderId="0" xfId="0" applyNumberFormat="1" applyFont="1" applyFill="1" applyAlignment="1" applyProtection="1">
      <alignment horizontal="left" vertical="top" wrapText="1"/>
      <protection locked="0"/>
    </xf>
    <xf numFmtId="49" fontId="17" fillId="2" borderId="7" xfId="0" applyNumberFormat="1" applyFont="1" applyFill="1" applyBorder="1" applyAlignment="1" applyProtection="1">
      <alignment horizontal="center" wrapText="1"/>
      <protection locked="0"/>
    </xf>
    <xf numFmtId="49" fontId="12" fillId="0" borderId="0" xfId="0" applyNumberFormat="1" applyFont="1" applyAlignment="1" applyProtection="1">
      <alignment horizontal="center" wrapText="1"/>
      <protection locked="0"/>
    </xf>
    <xf numFmtId="0" fontId="0" fillId="0" borderId="0" xfId="0" applyAlignment="1">
      <alignment wrapText="1"/>
    </xf>
    <xf numFmtId="14" fontId="0" fillId="0" borderId="0" xfId="0" applyNumberFormat="1"/>
    <xf numFmtId="0" fontId="3" fillId="6" borderId="0" xfId="0" applyFont="1" applyFill="1"/>
    <xf numFmtId="49" fontId="6" fillId="2" borderId="4" xfId="0" applyNumberFormat="1" applyFont="1" applyFill="1" applyBorder="1" applyAlignment="1" applyProtection="1">
      <alignment horizontal="center" wrapText="1"/>
      <protection locked="0"/>
    </xf>
    <xf numFmtId="49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7" xfId="0" applyBorder="1"/>
    <xf numFmtId="0" fontId="0" fillId="5" borderId="7" xfId="0" applyFill="1" applyBorder="1"/>
    <xf numFmtId="49" fontId="6" fillId="2" borderId="25" xfId="0" applyNumberFormat="1" applyFont="1" applyFill="1" applyBorder="1" applyAlignment="1" applyProtection="1">
      <alignment horizontal="center" wrapText="1"/>
      <protection locked="0"/>
    </xf>
    <xf numFmtId="49" fontId="8" fillId="2" borderId="25" xfId="0" applyNumberFormat="1" applyFont="1" applyFill="1" applyBorder="1" applyAlignment="1" applyProtection="1">
      <alignment horizontal="center"/>
      <protection locked="0"/>
    </xf>
    <xf numFmtId="49" fontId="7" fillId="0" borderId="26" xfId="0" applyNumberFormat="1" applyFont="1" applyBorder="1" applyProtection="1">
      <protection locked="0"/>
    </xf>
    <xf numFmtId="49" fontId="27" fillId="2" borderId="7" xfId="0" applyNumberFormat="1" applyFont="1" applyFill="1" applyBorder="1" applyAlignment="1" applyProtection="1">
      <alignment horizontal="center" wrapText="1"/>
      <protection locked="0"/>
    </xf>
    <xf numFmtId="49" fontId="3" fillId="2" borderId="8" xfId="0" applyNumberFormat="1" applyFont="1" applyFill="1" applyBorder="1" applyAlignment="1" applyProtection="1">
      <alignment wrapText="1"/>
      <protection locked="0"/>
    </xf>
    <xf numFmtId="49" fontId="28" fillId="0" borderId="4" xfId="0" applyNumberFormat="1" applyFont="1" applyBorder="1" applyAlignment="1" applyProtection="1">
      <alignment vertical="center"/>
      <protection locked="0"/>
    </xf>
    <xf numFmtId="49" fontId="28" fillId="0" borderId="4" xfId="0" applyNumberFormat="1" applyFont="1" applyBorder="1" applyAlignment="1" applyProtection="1">
      <alignment vertical="center" wrapText="1"/>
      <protection locked="0"/>
    </xf>
    <xf numFmtId="49" fontId="3" fillId="0" borderId="4" xfId="0" applyNumberFormat="1" applyFont="1" applyBorder="1" applyAlignment="1" applyProtection="1">
      <alignment horizontal="left"/>
      <protection locked="0"/>
    </xf>
    <xf numFmtId="49" fontId="8" fillId="0" borderId="7" xfId="0" applyNumberFormat="1" applyFont="1" applyBorder="1" applyAlignment="1" applyProtection="1">
      <alignment horizontal="left"/>
      <protection locked="0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49" fontId="17" fillId="2" borderId="7" xfId="0" applyNumberFormat="1" applyFont="1" applyFill="1" applyBorder="1" applyProtection="1">
      <protection locked="0"/>
    </xf>
    <xf numFmtId="49" fontId="31" fillId="2" borderId="7" xfId="0" applyNumberFormat="1" applyFont="1" applyFill="1" applyBorder="1" applyAlignment="1" applyProtection="1">
      <alignment horizontal="center"/>
      <protection locked="0"/>
    </xf>
    <xf numFmtId="0" fontId="8" fillId="7" borderId="7" xfId="0" applyFont="1" applyFill="1" applyBorder="1" applyAlignment="1">
      <alignment horizontal="center"/>
    </xf>
    <xf numFmtId="0" fontId="31" fillId="7" borderId="7" xfId="0" applyFont="1" applyFill="1" applyBorder="1" applyAlignment="1">
      <alignment horizontal="center"/>
    </xf>
    <xf numFmtId="1" fontId="8" fillId="7" borderId="7" xfId="0" applyNumberFormat="1" applyFont="1" applyFill="1" applyBorder="1" applyAlignment="1">
      <alignment horizontal="center"/>
    </xf>
    <xf numFmtId="0" fontId="3" fillId="7" borderId="9" xfId="0" applyFont="1" applyFill="1" applyBorder="1"/>
    <xf numFmtId="1" fontId="8" fillId="7" borderId="4" xfId="0" applyNumberFormat="1" applyFont="1" applyFill="1" applyBorder="1" applyAlignment="1">
      <alignment horizontal="center"/>
    </xf>
    <xf numFmtId="49" fontId="17" fillId="2" borderId="9" xfId="0" applyNumberFormat="1" applyFont="1" applyFill="1" applyBorder="1" applyAlignment="1" applyProtection="1">
      <alignment horizontal="center" wrapText="1"/>
      <protection locked="0"/>
    </xf>
    <xf numFmtId="49" fontId="16" fillId="0" borderId="12" xfId="0" applyNumberFormat="1" applyFont="1" applyBorder="1" applyProtection="1">
      <protection locked="0"/>
    </xf>
    <xf numFmtId="49" fontId="26" fillId="3" borderId="0" xfId="0" applyNumberFormat="1" applyFont="1" applyFill="1" applyAlignment="1" applyProtection="1">
      <alignment horizontal="left" vertical="top" wrapText="1"/>
      <protection locked="0"/>
    </xf>
    <xf numFmtId="49" fontId="7" fillId="0" borderId="10" xfId="0" applyNumberFormat="1" applyFont="1" applyBorder="1" applyProtection="1">
      <protection locked="0"/>
    </xf>
    <xf numFmtId="49" fontId="28" fillId="0" borderId="0" xfId="0" applyNumberFormat="1" applyFont="1" applyAlignment="1" applyProtection="1">
      <alignment vertical="center" wrapText="1"/>
      <protection locked="0"/>
    </xf>
    <xf numFmtId="49" fontId="28" fillId="0" borderId="0" xfId="0" applyNumberFormat="1" applyFont="1" applyAlignment="1" applyProtection="1">
      <alignment vertical="center"/>
      <protection locked="0"/>
    </xf>
    <xf numFmtId="49" fontId="8" fillId="2" borderId="0" xfId="0" applyNumberFormat="1" applyFont="1" applyFill="1" applyAlignment="1" applyProtection="1">
      <alignment horizontal="center"/>
      <protection locked="0"/>
    </xf>
    <xf numFmtId="1" fontId="8" fillId="2" borderId="0" xfId="0" applyNumberFormat="1" applyFont="1" applyFill="1" applyAlignment="1" applyProtection="1">
      <alignment horizontal="center"/>
      <protection locked="0"/>
    </xf>
    <xf numFmtId="49" fontId="3" fillId="2" borderId="0" xfId="0" applyNumberFormat="1" applyFont="1" applyFill="1" applyAlignment="1" applyProtection="1">
      <alignment horizontal="center" wrapText="1"/>
      <protection locked="0"/>
    </xf>
    <xf numFmtId="1" fontId="8" fillId="7" borderId="0" xfId="0" applyNumberFormat="1" applyFont="1" applyFill="1" applyAlignment="1">
      <alignment horizontal="center"/>
    </xf>
    <xf numFmtId="49" fontId="6" fillId="2" borderId="4" xfId="0" applyNumberFormat="1" applyFont="1" applyFill="1" applyBorder="1" applyAlignment="1" applyProtection="1">
      <alignment wrapText="1"/>
      <protection locked="0"/>
    </xf>
    <xf numFmtId="0" fontId="32" fillId="0" borderId="0" xfId="0" applyFont="1"/>
    <xf numFmtId="49" fontId="30" fillId="2" borderId="0" xfId="0" applyNumberFormat="1" applyFont="1" applyFill="1" applyAlignment="1" applyProtection="1">
      <alignment horizontal="center" vertical="center" wrapText="1"/>
      <protection locked="0"/>
    </xf>
    <xf numFmtId="49" fontId="3" fillId="2" borderId="3" xfId="0" applyNumberFormat="1" applyFont="1" applyFill="1" applyBorder="1" applyAlignment="1" applyProtection="1">
      <alignment wrapText="1"/>
      <protection locked="0"/>
    </xf>
    <xf numFmtId="49" fontId="8" fillId="2" borderId="2" xfId="0" applyNumberFormat="1" applyFont="1" applyFill="1" applyBorder="1" applyAlignment="1" applyProtection="1">
      <alignment horizontal="center"/>
      <protection locked="0"/>
    </xf>
    <xf numFmtId="49" fontId="30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33" fillId="2" borderId="7" xfId="0" applyNumberFormat="1" applyFont="1" applyFill="1" applyBorder="1" applyAlignment="1" applyProtection="1">
      <alignment horizontal="center" wrapText="1"/>
      <protection locked="0"/>
    </xf>
    <xf numFmtId="49" fontId="8" fillId="0" borderId="2" xfId="0" applyNumberFormat="1" applyFont="1" applyBorder="1" applyAlignment="1" applyProtection="1">
      <alignment horizontal="left"/>
      <protection locked="0"/>
    </xf>
    <xf numFmtId="49" fontId="8" fillId="2" borderId="7" xfId="0" applyNumberFormat="1" applyFont="1" applyFill="1" applyBorder="1" applyAlignment="1" applyProtection="1">
      <alignment horizontal="left" wrapText="1"/>
      <protection locked="0"/>
    </xf>
    <xf numFmtId="49" fontId="3" fillId="2" borderId="3" xfId="0" applyNumberFormat="1" applyFont="1" applyFill="1" applyBorder="1" applyProtection="1">
      <protection locked="0"/>
    </xf>
    <xf numFmtId="49" fontId="3" fillId="2" borderId="4" xfId="0" applyNumberFormat="1" applyFont="1" applyFill="1" applyBorder="1" applyProtection="1">
      <protection locked="0"/>
    </xf>
    <xf numFmtId="49" fontId="30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30" fillId="2" borderId="15" xfId="0" applyNumberFormat="1" applyFont="1" applyFill="1" applyBorder="1" applyAlignment="1" applyProtection="1">
      <alignment horizontal="center" vertical="center" wrapText="1"/>
      <protection locked="0"/>
    </xf>
    <xf numFmtId="49" fontId="30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4" xfId="0" applyNumberFormat="1" applyBorder="1" applyAlignment="1" applyProtection="1">
      <alignment horizontal="left"/>
      <protection locked="0"/>
    </xf>
    <xf numFmtId="49" fontId="8" fillId="0" borderId="2" xfId="0" applyNumberFormat="1" applyFont="1" applyBorder="1" applyAlignment="1" applyProtection="1">
      <alignment horizontal="left"/>
      <protection locked="0"/>
    </xf>
    <xf numFmtId="49" fontId="8" fillId="2" borderId="3" xfId="0" applyNumberFormat="1" applyFont="1" applyFill="1" applyBorder="1" applyAlignment="1" applyProtection="1">
      <alignment horizontal="center" wrapText="1"/>
      <protection locked="0"/>
    </xf>
    <xf numFmtId="49" fontId="8" fillId="2" borderId="4" xfId="0" applyNumberFormat="1" applyFont="1" applyFill="1" applyBorder="1" applyAlignment="1" applyProtection="1">
      <alignment horizontal="center" wrapText="1"/>
      <protection locked="0"/>
    </xf>
    <xf numFmtId="49" fontId="8" fillId="2" borderId="3" xfId="0" applyNumberFormat="1" applyFont="1" applyFill="1" applyBorder="1" applyAlignment="1" applyProtection="1">
      <alignment horizontal="center"/>
      <protection locked="0"/>
    </xf>
    <xf numFmtId="49" fontId="8" fillId="2" borderId="4" xfId="0" applyNumberFormat="1" applyFont="1" applyFill="1" applyBorder="1" applyAlignment="1" applyProtection="1">
      <alignment horizontal="center"/>
      <protection locked="0"/>
    </xf>
    <xf numFmtId="49" fontId="9" fillId="0" borderId="0" xfId="0" applyNumberFormat="1" applyFont="1" applyAlignment="1" applyProtection="1">
      <alignment horizontal="left" vertical="top" wrapText="1"/>
      <protection locked="0"/>
    </xf>
    <xf numFmtId="49" fontId="3" fillId="2" borderId="16" xfId="0" applyNumberFormat="1" applyFont="1" applyFill="1" applyBorder="1" applyAlignment="1" applyProtection="1">
      <alignment horizontal="center" vertical="center"/>
      <protection locked="0"/>
    </xf>
    <xf numFmtId="49" fontId="3" fillId="2" borderId="17" xfId="0" applyNumberFormat="1" applyFont="1" applyFill="1" applyBorder="1" applyAlignment="1" applyProtection="1">
      <alignment horizontal="center" vertical="center"/>
      <protection locked="0"/>
    </xf>
    <xf numFmtId="49" fontId="26" fillId="2" borderId="7" xfId="0" applyNumberFormat="1" applyFont="1" applyFill="1" applyBorder="1" applyAlignment="1" applyProtection="1">
      <alignment horizontal="left" wrapText="1"/>
      <protection locked="0"/>
    </xf>
    <xf numFmtId="49" fontId="21" fillId="0" borderId="0" xfId="0" applyNumberFormat="1" applyFont="1" applyAlignment="1" applyProtection="1">
      <alignment horizontal="left" vertical="top" wrapText="1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9" fillId="0" borderId="1" xfId="0" applyNumberFormat="1" applyFont="1" applyBorder="1" applyAlignment="1" applyProtection="1">
      <alignment horizontal="left" vertical="top" wrapText="1"/>
      <protection locked="0"/>
    </xf>
    <xf numFmtId="49" fontId="3" fillId="2" borderId="8" xfId="0" applyNumberFormat="1" applyFont="1" applyFill="1" applyBorder="1" applyAlignment="1" applyProtection="1">
      <alignment horizontal="center" wrapText="1"/>
      <protection locked="0"/>
    </xf>
    <xf numFmtId="49" fontId="3" fillId="2" borderId="9" xfId="0" applyNumberFormat="1" applyFont="1" applyFill="1" applyBorder="1" applyAlignment="1" applyProtection="1">
      <alignment horizontal="center" wrapText="1"/>
      <protection locked="0"/>
    </xf>
    <xf numFmtId="49" fontId="26" fillId="3" borderId="0" xfId="0" applyNumberFormat="1" applyFont="1" applyFill="1" applyAlignment="1" applyProtection="1">
      <alignment horizontal="left" vertical="top" wrapText="1"/>
      <protection locked="0"/>
    </xf>
    <xf numFmtId="49" fontId="3" fillId="2" borderId="7" xfId="0" applyNumberFormat="1" applyFont="1" applyFill="1" applyBorder="1" applyAlignment="1" applyProtection="1">
      <alignment horizontal="center" wrapText="1"/>
      <protection locked="0"/>
    </xf>
    <xf numFmtId="49" fontId="6" fillId="2" borderId="7" xfId="0" applyNumberFormat="1" applyFont="1" applyFill="1" applyBorder="1" applyAlignment="1" applyProtection="1">
      <alignment horizontal="center" wrapText="1"/>
      <protection locked="0"/>
    </xf>
    <xf numFmtId="49" fontId="3" fillId="2" borderId="2" xfId="0" applyNumberFormat="1" applyFont="1" applyFill="1" applyBorder="1" applyAlignment="1" applyProtection="1">
      <alignment horizontal="center" wrapText="1"/>
      <protection locked="0"/>
    </xf>
    <xf numFmtId="49" fontId="3" fillId="2" borderId="4" xfId="0" applyNumberFormat="1" applyFont="1" applyFill="1" applyBorder="1" applyAlignment="1" applyProtection="1">
      <alignment horizontal="center" wrapText="1"/>
      <protection locked="0"/>
    </xf>
    <xf numFmtId="49" fontId="3" fillId="2" borderId="7" xfId="0" applyNumberFormat="1" applyFont="1" applyFill="1" applyBorder="1" applyProtection="1">
      <protection locked="0"/>
    </xf>
    <xf numFmtId="49" fontId="21" fillId="0" borderId="0" xfId="0" applyNumberFormat="1" applyFont="1" applyAlignment="1" applyProtection="1">
      <alignment wrapText="1"/>
      <protection locked="0"/>
    </xf>
    <xf numFmtId="49" fontId="28" fillId="0" borderId="2" xfId="0" applyNumberFormat="1" applyFont="1" applyBorder="1" applyAlignment="1" applyProtection="1">
      <alignment vertical="center" wrapText="1"/>
      <protection locked="0"/>
    </xf>
    <xf numFmtId="49" fontId="28" fillId="0" borderId="1" xfId="0" applyNumberFormat="1" applyFont="1" applyBorder="1" applyAlignment="1" applyProtection="1">
      <alignment vertical="center" wrapText="1"/>
      <protection locked="0"/>
    </xf>
    <xf numFmtId="49" fontId="27" fillId="2" borderId="17" xfId="0" applyNumberFormat="1" applyFont="1" applyFill="1" applyBorder="1" applyAlignment="1" applyProtection="1">
      <alignment wrapText="1"/>
      <protection locked="0"/>
    </xf>
    <xf numFmtId="49" fontId="27" fillId="2" borderId="24" xfId="0" applyNumberFormat="1" applyFont="1" applyFill="1" applyBorder="1" applyAlignment="1" applyProtection="1">
      <alignment wrapText="1"/>
      <protection locked="0"/>
    </xf>
    <xf numFmtId="49" fontId="11" fillId="2" borderId="1" xfId="0" applyNumberFormat="1" applyFont="1" applyFill="1" applyBorder="1" applyAlignment="1" applyProtection="1">
      <alignment horizontal="left"/>
      <protection locked="0"/>
    </xf>
    <xf numFmtId="49" fontId="3" fillId="2" borderId="3" xfId="0" applyNumberFormat="1" applyFont="1" applyFill="1" applyBorder="1" applyAlignment="1" applyProtection="1">
      <alignment horizontal="center" wrapText="1"/>
      <protection locked="0"/>
    </xf>
    <xf numFmtId="0" fontId="8" fillId="7" borderId="3" xfId="0" applyFont="1" applyFill="1" applyBorder="1" applyAlignment="1">
      <alignment horizontal="left"/>
    </xf>
    <xf numFmtId="0" fontId="8" fillId="7" borderId="4" xfId="0" applyFont="1" applyFill="1" applyBorder="1" applyAlignment="1">
      <alignment horizontal="left"/>
    </xf>
    <xf numFmtId="49" fontId="10" fillId="0" borderId="0" xfId="0" applyNumberFormat="1" applyFont="1" applyAlignment="1" applyProtection="1">
      <alignment horizontal="left"/>
      <protection locked="0"/>
    </xf>
    <xf numFmtId="49" fontId="28" fillId="0" borderId="12" xfId="0" applyNumberFormat="1" applyFont="1" applyBorder="1" applyAlignment="1" applyProtection="1">
      <alignment horizontal="left" vertical="center" wrapText="1"/>
      <protection locked="0"/>
    </xf>
    <xf numFmtId="49" fontId="28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0" xfId="0" applyNumberFormat="1" applyFont="1" applyProtection="1">
      <protection locked="0"/>
    </xf>
    <xf numFmtId="0" fontId="0" fillId="0" borderId="0" xfId="0"/>
    <xf numFmtId="49" fontId="3" fillId="0" borderId="0" xfId="0" applyNumberFormat="1" applyFont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49" fontId="3" fillId="2" borderId="3" xfId="0" applyNumberFormat="1" applyFont="1" applyFill="1" applyBorder="1" applyAlignment="1" applyProtection="1">
      <alignment horizontal="left" wrapText="1"/>
      <protection locked="0"/>
    </xf>
    <xf numFmtId="49" fontId="3" fillId="2" borderId="4" xfId="0" applyNumberFormat="1" applyFont="1" applyFill="1" applyBorder="1" applyAlignment="1" applyProtection="1">
      <alignment horizontal="left" wrapText="1"/>
      <protection locked="0"/>
    </xf>
    <xf numFmtId="49" fontId="6" fillId="2" borderId="4" xfId="0" applyNumberFormat="1" applyFont="1" applyFill="1" applyBorder="1" applyAlignment="1" applyProtection="1">
      <alignment horizontal="left" wrapText="1"/>
      <protection locked="0"/>
    </xf>
    <xf numFmtId="49" fontId="8" fillId="2" borderId="3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7" borderId="3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49" fontId="8" fillId="2" borderId="3" xfId="0" applyNumberFormat="1" applyFont="1" applyFill="1" applyBorder="1" applyAlignment="1" applyProtection="1">
      <alignment horizontal="left"/>
      <protection locked="0"/>
    </xf>
    <xf numFmtId="49" fontId="8" fillId="2" borderId="4" xfId="0" applyNumberFormat="1" applyFont="1" applyFill="1" applyBorder="1" applyAlignment="1" applyProtection="1">
      <alignment horizontal="left"/>
      <protection locked="0"/>
    </xf>
    <xf numFmtId="49" fontId="8" fillId="2" borderId="3" xfId="0" applyNumberFormat="1" applyFont="1" applyFill="1" applyBorder="1" applyAlignment="1" applyProtection="1">
      <alignment horizontal="left" wrapText="1"/>
      <protection locked="0"/>
    </xf>
    <xf numFmtId="14" fontId="8" fillId="2" borderId="5" xfId="0" applyNumberFormat="1" applyFont="1" applyFill="1" applyBorder="1" applyAlignment="1" applyProtection="1">
      <alignment horizontal="left"/>
      <protection locked="0"/>
    </xf>
    <xf numFmtId="14" fontId="8" fillId="2" borderId="6" xfId="0" applyNumberFormat="1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alignment horizontal="left"/>
      <protection locked="0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3" xfId="0" applyFont="1" applyFill="1" applyBorder="1" applyAlignment="1" applyProtection="1">
      <alignment horizontal="left"/>
      <protection locked="0"/>
    </xf>
    <xf numFmtId="0" fontId="8" fillId="2" borderId="4" xfId="0" applyFont="1" applyFill="1" applyBorder="1" applyAlignment="1" applyProtection="1">
      <alignment horizontal="left"/>
      <protection locked="0"/>
    </xf>
    <xf numFmtId="49" fontId="8" fillId="0" borderId="3" xfId="0" applyNumberFormat="1" applyFont="1" applyBorder="1" applyAlignment="1" applyProtection="1">
      <alignment horizontal="left"/>
      <protection locked="0"/>
    </xf>
    <xf numFmtId="49" fontId="8" fillId="0" borderId="4" xfId="0" applyNumberFormat="1" applyFont="1" applyBorder="1" applyAlignment="1" applyProtection="1">
      <alignment horizontal="left"/>
      <protection locked="0"/>
    </xf>
    <xf numFmtId="0" fontId="8" fillId="7" borderId="3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8" fillId="7" borderId="4" xfId="0" applyFont="1" applyFill="1" applyBorder="1" applyAlignment="1">
      <alignment horizontal="left" vertical="top" wrapText="1"/>
    </xf>
    <xf numFmtId="0" fontId="0" fillId="7" borderId="4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8" fillId="7" borderId="2" xfId="0" applyFont="1" applyFill="1" applyBorder="1" applyAlignment="1">
      <alignment horizontal="left"/>
    </xf>
    <xf numFmtId="49" fontId="28" fillId="0" borderId="0" xfId="0" applyNumberFormat="1" applyFont="1" applyAlignment="1" applyProtection="1">
      <alignment vertical="center" wrapText="1"/>
      <protection locked="0"/>
    </xf>
    <xf numFmtId="49" fontId="28" fillId="0" borderId="0" xfId="0" applyNumberFormat="1" applyFont="1" applyAlignment="1" applyProtection="1">
      <alignment horizontal="left" vertical="center" wrapText="1"/>
      <protection locked="0"/>
    </xf>
    <xf numFmtId="49" fontId="3" fillId="2" borderId="2" xfId="0" applyNumberFormat="1" applyFont="1" applyFill="1" applyBorder="1" applyProtection="1">
      <protection locked="0"/>
    </xf>
    <xf numFmtId="49" fontId="8" fillId="2" borderId="2" xfId="0" applyNumberFormat="1" applyFont="1" applyFill="1" applyBorder="1" applyAlignment="1" applyProtection="1">
      <alignment horizontal="left"/>
      <protection locked="0"/>
    </xf>
    <xf numFmtId="49" fontId="7" fillId="0" borderId="0" xfId="0" applyNumberFormat="1" applyFont="1" applyAlignment="1" applyProtection="1">
      <alignment horizontal="left" wrapText="1"/>
      <protection locked="0"/>
    </xf>
    <xf numFmtId="49" fontId="22" fillId="0" borderId="0" xfId="0" applyNumberFormat="1" applyFont="1" applyAlignment="1" applyProtection="1">
      <alignment horizontal="left"/>
      <protection locked="0"/>
    </xf>
    <xf numFmtId="0" fontId="8" fillId="0" borderId="3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4" xfId="0" applyFont="1" applyBorder="1" applyAlignment="1" applyProtection="1">
      <alignment horizontal="left"/>
      <protection locked="0"/>
    </xf>
    <xf numFmtId="49" fontId="10" fillId="0" borderId="3" xfId="0" applyNumberFormat="1" applyFont="1" applyBorder="1" applyProtection="1">
      <protection locked="0"/>
    </xf>
    <xf numFmtId="49" fontId="10" fillId="0" borderId="2" xfId="0" applyNumberFormat="1" applyFont="1" applyBorder="1" applyProtection="1">
      <protection locked="0"/>
    </xf>
    <xf numFmtId="49" fontId="10" fillId="0" borderId="4" xfId="0" applyNumberFormat="1" applyFont="1" applyBorder="1" applyProtection="1">
      <protection locked="0"/>
    </xf>
    <xf numFmtId="49" fontId="0" fillId="0" borderId="3" xfId="0" applyNumberFormat="1" applyBorder="1" applyProtection="1">
      <protection locked="0"/>
    </xf>
    <xf numFmtId="49" fontId="0" fillId="0" borderId="2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49" fontId="0" fillId="2" borderId="3" xfId="0" applyNumberFormat="1" applyFill="1" applyBorder="1" applyProtection="1">
      <protection locked="0"/>
    </xf>
    <xf numFmtId="0" fontId="0" fillId="0" borderId="4" xfId="0" applyBorder="1"/>
    <xf numFmtId="49" fontId="31" fillId="2" borderId="7" xfId="0" applyNumberFormat="1" applyFont="1" applyFill="1" applyBorder="1" applyAlignment="1" applyProtection="1">
      <alignment horizontal="left" wrapText="1"/>
      <protection locked="0"/>
    </xf>
    <xf numFmtId="49" fontId="11" fillId="2" borderId="2" xfId="0" applyNumberFormat="1" applyFont="1" applyFill="1" applyBorder="1" applyAlignment="1" applyProtection="1">
      <alignment horizontal="left"/>
      <protection locked="0"/>
    </xf>
    <xf numFmtId="49" fontId="11" fillId="2" borderId="1" xfId="0" applyNumberFormat="1" applyFont="1" applyFill="1" applyBorder="1" applyAlignment="1" applyProtection="1">
      <alignment horizontal="left" vertical="top"/>
      <protection locked="0"/>
    </xf>
    <xf numFmtId="49" fontId="8" fillId="2" borderId="2" xfId="0" applyNumberFormat="1" applyFont="1" applyFill="1" applyBorder="1" applyAlignment="1" applyProtection="1">
      <alignment horizontal="left" vertical="top"/>
      <protection locked="0"/>
    </xf>
    <xf numFmtId="49" fontId="11" fillId="0" borderId="2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0" fontId="3" fillId="0" borderId="0" xfId="0" applyFont="1"/>
    <xf numFmtId="0" fontId="0" fillId="0" borderId="2" xfId="0" applyBorder="1"/>
    <xf numFmtId="49" fontId="8" fillId="2" borderId="1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49" fontId="8" fillId="2" borderId="12" xfId="0" applyNumberFormat="1" applyFont="1" applyFill="1" applyBorder="1" applyAlignment="1" applyProtection="1">
      <alignment horizontal="left"/>
      <protection locked="0"/>
    </xf>
    <xf numFmtId="49" fontId="8" fillId="2" borderId="2" xfId="0" applyNumberFormat="1" applyFont="1" applyFill="1" applyBorder="1" applyAlignment="1" applyProtection="1">
      <alignment horizontal="left" wrapText="1"/>
      <protection locked="0"/>
    </xf>
    <xf numFmtId="0" fontId="0" fillId="2" borderId="4" xfId="0" applyFill="1" applyBorder="1"/>
    <xf numFmtId="49" fontId="0" fillId="3" borderId="11" xfId="0" applyNumberForma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8" fillId="2" borderId="1" xfId="0" applyNumberFormat="1" applyFont="1" applyFill="1" applyBorder="1" applyAlignment="1" applyProtection="1">
      <alignment horizontal="left" wrapText="1"/>
      <protection locked="0"/>
    </xf>
    <xf numFmtId="49" fontId="7" fillId="0" borderId="3" xfId="0" applyNumberFormat="1" applyFont="1" applyBorder="1" applyAlignment="1" applyProtection="1">
      <alignment horizontal="right"/>
      <protection locked="0"/>
    </xf>
    <xf numFmtId="49" fontId="7" fillId="0" borderId="4" xfId="0" applyNumberFormat="1" applyFont="1" applyBorder="1" applyAlignment="1" applyProtection="1">
      <alignment horizontal="right"/>
      <protection locked="0"/>
    </xf>
    <xf numFmtId="49" fontId="7" fillId="0" borderId="3" xfId="0" applyNumberFormat="1" applyFont="1" applyBorder="1" applyProtection="1">
      <protection locked="0"/>
    </xf>
    <xf numFmtId="49" fontId="7" fillId="0" borderId="4" xfId="0" applyNumberFormat="1" applyFont="1" applyBorder="1" applyProtection="1">
      <protection locked="0"/>
    </xf>
    <xf numFmtId="49" fontId="0" fillId="0" borderId="8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9" fontId="3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/>
    <xf numFmtId="49" fontId="0" fillId="0" borderId="8" xfId="0" applyNumberFormat="1" applyBorder="1" applyProtection="1">
      <protection locked="0"/>
    </xf>
    <xf numFmtId="0" fontId="0" fillId="0" borderId="8" xfId="0" applyBorder="1"/>
    <xf numFmtId="49" fontId="0" fillId="0" borderId="11" xfId="0" applyNumberFormat="1" applyBorder="1" applyProtection="1">
      <protection locked="0"/>
    </xf>
    <xf numFmtId="0" fontId="0" fillId="0" borderId="10" xfId="0" applyBorder="1"/>
    <xf numFmtId="49" fontId="6" fillId="2" borderId="3" xfId="0" applyNumberFormat="1" applyFont="1" applyFill="1" applyBorder="1" applyAlignment="1" applyProtection="1">
      <alignment horizontal="left" wrapText="1"/>
      <protection locked="0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31" fillId="7" borderId="3" xfId="0" applyFont="1" applyFill="1" applyBorder="1" applyAlignment="1">
      <alignment horizontal="left"/>
    </xf>
    <xf numFmtId="0" fontId="31" fillId="7" borderId="4" xfId="0" applyFont="1" applyFill="1" applyBorder="1" applyAlignment="1">
      <alignment horizontal="left"/>
    </xf>
    <xf numFmtId="49" fontId="8" fillId="0" borderId="5" xfId="0" applyNumberFormat="1" applyFont="1" applyBorder="1" applyAlignment="1" applyProtection="1">
      <alignment horizontal="left"/>
      <protection locked="0"/>
    </xf>
    <xf numFmtId="49" fontId="8" fillId="0" borderId="6" xfId="0" applyNumberFormat="1" applyFont="1" applyBorder="1" applyAlignment="1" applyProtection="1">
      <alignment horizontal="left"/>
      <protection locked="0"/>
    </xf>
    <xf numFmtId="49" fontId="8" fillId="0" borderId="7" xfId="0" applyNumberFormat="1" applyFont="1" applyBorder="1" applyAlignment="1" applyProtection="1">
      <alignment horizontal="left"/>
      <protection locked="0"/>
    </xf>
    <xf numFmtId="49" fontId="22" fillId="3" borderId="0" xfId="0" applyNumberFormat="1" applyFont="1" applyFill="1" applyAlignment="1" applyProtection="1">
      <alignment horizontal="left"/>
      <protection locked="0"/>
    </xf>
    <xf numFmtId="0" fontId="22" fillId="3" borderId="0" xfId="0" applyFont="1" applyFill="1" applyAlignment="1">
      <alignment horizontal="left"/>
    </xf>
    <xf numFmtId="49" fontId="23" fillId="0" borderId="0" xfId="0" applyNumberFormat="1" applyFont="1" applyAlignment="1" applyProtection="1">
      <alignment horizontal="left"/>
      <protection locked="0"/>
    </xf>
    <xf numFmtId="0" fontId="24" fillId="0" borderId="0" xfId="0" applyFont="1"/>
    <xf numFmtId="49" fontId="9" fillId="3" borderId="1" xfId="0" applyNumberFormat="1" applyFont="1" applyFill="1" applyBorder="1" applyAlignment="1" applyProtection="1">
      <alignment horizontal="left" vertical="top" wrapText="1"/>
      <protection locked="0"/>
    </xf>
    <xf numFmtId="49" fontId="9" fillId="3" borderId="0" xfId="0" applyNumberFormat="1" applyFont="1" applyFill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3" fillId="2" borderId="15" xfId="0" applyNumberFormat="1" applyFont="1" applyFill="1" applyBorder="1" applyAlignment="1" applyProtection="1">
      <alignment horizontal="center" wrapText="1"/>
      <protection locked="0"/>
    </xf>
    <xf numFmtId="49" fontId="21" fillId="0" borderId="3" xfId="0" applyNumberFormat="1" applyFont="1" applyBorder="1" applyAlignment="1" applyProtection="1">
      <alignment horizontal="left"/>
      <protection locked="0"/>
    </xf>
    <xf numFmtId="49" fontId="21" fillId="0" borderId="2" xfId="0" applyNumberFormat="1" applyFont="1" applyBorder="1" applyAlignment="1" applyProtection="1">
      <alignment horizontal="left"/>
      <protection locked="0"/>
    </xf>
    <xf numFmtId="49" fontId="21" fillId="0" borderId="4" xfId="0" applyNumberFormat="1" applyFont="1" applyBorder="1" applyAlignment="1" applyProtection="1">
      <alignment horizontal="left"/>
      <protection locked="0"/>
    </xf>
    <xf numFmtId="49" fontId="0" fillId="3" borderId="3" xfId="0" applyNumberFormat="1" applyFill="1" applyBorder="1" applyProtection="1">
      <protection locked="0"/>
    </xf>
    <xf numFmtId="49" fontId="0" fillId="3" borderId="4" xfId="0" applyNumberFormat="1" applyFill="1" applyBorder="1" applyProtection="1">
      <protection locked="0"/>
    </xf>
    <xf numFmtId="49" fontId="7" fillId="3" borderId="3" xfId="0" applyNumberFormat="1" applyFont="1" applyFill="1" applyBorder="1" applyProtection="1">
      <protection locked="0"/>
    </xf>
    <xf numFmtId="49" fontId="7" fillId="3" borderId="4" xfId="0" applyNumberFormat="1" applyFont="1" applyFill="1" applyBorder="1" applyProtection="1">
      <protection locked="0"/>
    </xf>
    <xf numFmtId="49" fontId="7" fillId="2" borderId="3" xfId="0" applyNumberFormat="1" applyFont="1" applyFill="1" applyBorder="1" applyProtection="1">
      <protection locked="0"/>
    </xf>
    <xf numFmtId="49" fontId="0" fillId="2" borderId="2" xfId="0" applyNumberFormat="1" applyFill="1" applyBorder="1" applyProtection="1">
      <protection locked="0"/>
    </xf>
    <xf numFmtId="49" fontId="0" fillId="2" borderId="4" xfId="0" applyNumberFormat="1" applyFill="1" applyBorder="1" applyProtection="1">
      <protection locked="0"/>
    </xf>
    <xf numFmtId="49" fontId="7" fillId="2" borderId="2" xfId="0" applyNumberFormat="1" applyFont="1" applyFill="1" applyBorder="1" applyProtection="1">
      <protection locked="0"/>
    </xf>
    <xf numFmtId="49" fontId="7" fillId="2" borderId="4" xfId="0" applyNumberFormat="1" applyFont="1" applyFill="1" applyBorder="1" applyProtection="1">
      <protection locked="0"/>
    </xf>
    <xf numFmtId="49" fontId="0" fillId="2" borderId="7" xfId="0" applyNumberFormat="1" applyFill="1" applyBorder="1" applyAlignment="1" applyProtection="1">
      <alignment horizontal="left"/>
      <protection locked="0"/>
    </xf>
    <xf numFmtId="49" fontId="0" fillId="2" borderId="3" xfId="0" applyNumberFormat="1" applyFill="1" applyBorder="1" applyAlignment="1" applyProtection="1">
      <alignment horizontal="left"/>
      <protection locked="0"/>
    </xf>
    <xf numFmtId="49" fontId="0" fillId="2" borderId="2" xfId="0" applyNumberFormat="1" applyFill="1" applyBorder="1" applyAlignment="1" applyProtection="1">
      <alignment horizontal="left"/>
      <protection locked="0"/>
    </xf>
    <xf numFmtId="49" fontId="0" fillId="2" borderId="4" xfId="0" applyNumberFormat="1" applyFill="1" applyBorder="1" applyAlignment="1" applyProtection="1">
      <alignment horizontal="left"/>
      <protection locked="0"/>
    </xf>
    <xf numFmtId="49" fontId="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49" fontId="0" fillId="2" borderId="11" xfId="0" applyNumberFormat="1" applyFill="1" applyBorder="1" applyProtection="1">
      <protection locked="0"/>
    </xf>
    <xf numFmtId="0" fontId="0" fillId="0" borderId="5" xfId="0" applyBorder="1"/>
    <xf numFmtId="0" fontId="0" fillId="0" borderId="6" xfId="0" applyBorder="1"/>
    <xf numFmtId="49" fontId="0" fillId="0" borderId="7" xfId="0" applyNumberFormat="1" applyBorder="1" applyProtection="1">
      <protection locked="0"/>
    </xf>
    <xf numFmtId="49" fontId="17" fillId="0" borderId="0" xfId="0" applyNumberFormat="1" applyFont="1" applyAlignment="1" applyProtection="1">
      <alignment horizontal="left"/>
      <protection locked="0"/>
    </xf>
    <xf numFmtId="49" fontId="0" fillId="0" borderId="7" xfId="0" applyNumberFormat="1" applyBorder="1" applyAlignment="1" applyProtection="1">
      <alignment horizontal="left"/>
      <protection locked="0"/>
    </xf>
    <xf numFmtId="49" fontId="5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4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>
          <fgColor indexed="64"/>
          <bgColor theme="5" tint="0.5999938962981048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>
          <fgColor indexed="64"/>
          <bgColor theme="5" tint="0.5999938962981048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>
          <fgColor indexed="64"/>
          <bgColor theme="5" tint="0.5999938962981048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0" hidden="0"/>
    </dxf>
  </dxfs>
  <tableStyles count="1" defaultTableStyle="TableStyleMedium2" defaultPivotStyle="PivotStyleLight16">
    <tableStyle name="Table Style 1" pivot="0" count="0" xr9:uid="{AFCF5D7E-1C34-48FB-8346-8E06A06D59BB}"/>
  </tableStyles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Radio" lockText="1" noThreeD="1"/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1</xdr:col>
          <xdr:colOff>624840</xdr:colOff>
          <xdr:row>99</xdr:row>
          <xdr:rowOff>30480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Rooftop Outdoor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182880</xdr:rowOff>
        </xdr:from>
        <xdr:to>
          <xdr:col>1</xdr:col>
          <xdr:colOff>624840</xdr:colOff>
          <xdr:row>100</xdr:row>
          <xdr:rowOff>15240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Rooftop Indoor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182880</xdr:rowOff>
        </xdr:from>
        <xdr:to>
          <xdr:col>1</xdr:col>
          <xdr:colOff>624840</xdr:colOff>
          <xdr:row>101</xdr:row>
          <xdr:rowOff>15240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Greenfield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182880</xdr:rowOff>
        </xdr:from>
        <xdr:to>
          <xdr:col>1</xdr:col>
          <xdr:colOff>624840</xdr:colOff>
          <xdr:row>102</xdr:row>
          <xdr:rowOff>15240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Groundsite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182880</xdr:rowOff>
        </xdr:from>
        <xdr:to>
          <xdr:col>4</xdr:col>
          <xdr:colOff>678180</xdr:colOff>
          <xdr:row>99</xdr:row>
          <xdr:rowOff>15240</xdr:rowOff>
        </xdr:to>
        <xdr:sp macro="" textlink="">
          <xdr:nvSpPr>
            <xdr:cNvPr id="1034" name="Option 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HVP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182880</xdr:rowOff>
        </xdr:from>
        <xdr:to>
          <xdr:col>4</xdr:col>
          <xdr:colOff>678180</xdr:colOff>
          <xdr:row>100</xdr:row>
          <xdr:rowOff>15240</xdr:rowOff>
        </xdr:to>
        <xdr:sp macro="" textlink="">
          <xdr:nvSpPr>
            <xdr:cNvPr id="1035" name="Option 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Mono Pole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</xdr:row>
          <xdr:rowOff>0</xdr:rowOff>
        </xdr:from>
        <xdr:to>
          <xdr:col>4</xdr:col>
          <xdr:colOff>678180</xdr:colOff>
          <xdr:row>101</xdr:row>
          <xdr:rowOff>30480</xdr:rowOff>
        </xdr:to>
        <xdr:sp macro="" textlink=""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nl-NL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Church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van der Mast" id="{2E0B2914-0544-4FBC-B211-2452DB3CFE4E}" userId="S::eric.van.der.mast@ericsson.com::4b61dd16-34d4-46bb-a226-ae384fe86d0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DCDEF0-C76B-411D-B278-EFDD6BBD1C69}" name="Table5" displayName="Table5" ref="A21:E31" headerRowCount="0" totalsRowShown="0" headerRowDxfId="100" dataDxfId="99">
  <tableColumns count="5">
    <tableColumn id="1" xr3:uid="{9425E2DD-9A45-4424-96B5-43C360652B2C}" name="Column1" headerRowDxfId="98" dataDxfId="97"/>
    <tableColumn id="2" xr3:uid="{42746622-953B-470B-BB4B-1700E1ECA447}" name="Column2" headerRowDxfId="96" dataDxfId="95"/>
    <tableColumn id="3" xr3:uid="{FC66831C-E7F3-4BE5-91A6-FB4045D507E3}" name="Column3" headerRowDxfId="94" dataDxfId="93"/>
    <tableColumn id="4" xr3:uid="{CE28A8A8-812C-4CA4-83C0-574CE806EA07}" name="Column4" headerRowDxfId="92" dataDxfId="91"/>
    <tableColumn id="5" xr3:uid="{A155DC6C-AED6-4AA9-AD64-16A73863E266}" name="Column5" headerRowDxfId="90" dataDxfId="89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19E08E-1782-4271-AC14-36BC2959C644}" name="Table9" displayName="Table9" ref="A41:C43" headerRowCount="0" totalsRowShown="0" headerRowDxfId="88" dataDxfId="87" tableBorderDxfId="86" totalsRowBorderDxfId="85">
  <tableColumns count="3">
    <tableColumn id="1" xr3:uid="{719D2BFF-F0C3-474A-9FAA-33169FBB4D3A}" name="Column1" headerRowDxfId="84" dataDxfId="83"/>
    <tableColumn id="2" xr3:uid="{2D7C8842-A49A-4CBA-A434-EBC6B47B5565}" name="Column2" headerRowDxfId="82" dataDxfId="81"/>
    <tableColumn id="3" xr3:uid="{EF356D2F-F37F-408E-9857-23980EA82AD1}" name="Column3" headerRowDxfId="80" dataDxfId="79"/>
  </tableColumns>
  <tableStyleInfo name="Table Style 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309606-17B8-457F-B203-23ADE12C03A0}" name="Table13" displayName="Table13" ref="E41:G43" headerRowCount="0" totalsRowShown="0" headerRowDxfId="78" dataDxfId="77" tableBorderDxfId="76">
  <tableColumns count="3">
    <tableColumn id="1" xr3:uid="{2BA279C2-BACA-4D76-A18C-ACDAAA0C512B}" name="Column1" headerRowDxfId="75" dataDxfId="74"/>
    <tableColumn id="2" xr3:uid="{3B15EE39-7F9D-49A2-ABD8-E6CC12F3CF42}" name="Column2" headerRowDxfId="73" dataDxfId="72"/>
    <tableColumn id="3" xr3:uid="{946F5328-F781-4F3B-9358-E0F774344F4E}" name="Column3" headerRowDxfId="71" dataDxfId="70"/>
  </tableColumns>
  <tableStyleInfo name="Table Style 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DC1FE-44F5-4368-B9AB-AF8D4B4A97CC}" name="Table1" displayName="Table1" ref="A178:A189" totalsRowShown="0" headerRowDxfId="69" dataDxfId="67" headerRowBorderDxfId="68">
  <autoFilter ref="A178:A189" xr:uid="{28402572-AC8F-4FA8-8E1F-3B50DAE187F1}">
    <filterColumn colId="0" hiddenButton="1"/>
  </autoFilter>
  <tableColumns count="1">
    <tableColumn id="1" xr3:uid="{6D0D4B4D-6305-49AB-B227-9843D0BE3D0E}" name="Bliksembeveiliging aanwezig" dataDxfId="66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B6619-DD40-4065-A6B5-FE9CAC422522}" name="Table2" displayName="Table2" ref="A203:A216" headerRowCount="0" totalsRowShown="0" headerRowDxfId="65" dataDxfId="64">
  <tableColumns count="1">
    <tableColumn id="1" xr3:uid="{00D9A4FB-42DE-4255-9946-17288DBEFC47}" name="Column1" headerRowDxfId="63" dataDxfId="62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B253B2-0AFB-427A-BE22-DF88B37376FA}" name="Table4" displayName="Table4" ref="A224:B225" headerRowCount="0" totalsRowShown="0" headerRowDxfId="61" dataDxfId="60" tableBorderDxfId="59" totalsRowBorderDxfId="58">
  <tableColumns count="2">
    <tableColumn id="1" xr3:uid="{0F568238-B1CF-42A1-A60A-D3E66AE767DD}" name="Column1" headerRowDxfId="57" dataDxfId="56"/>
    <tableColumn id="2" xr3:uid="{A34F3D25-53ED-49AF-9B46-98396A23038D}" name="Column2" headerRowDxfId="55" dataDxfId="54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04F3FC-0642-44ED-BAD3-26889C5F5E8A}" name="Table7" displayName="Table7" ref="A246:A247" headerRowCount="0" totalsRowShown="0" headerRowDxfId="53" dataDxfId="52">
  <tableColumns count="1">
    <tableColumn id="1" xr3:uid="{1457BFED-9F46-46AE-AE4D-60FE29FE5363}" name="Column1" headerRowDxfId="51" dataDxfId="50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DD9890-F10F-4921-8F95-794675232901}" name="Table10" displayName="Table10" ref="A253:A257" headerRowCount="0" totalsRowShown="0" headerRowDxfId="49" dataDxfId="48">
  <tableColumns count="1">
    <tableColumn id="1" xr3:uid="{2FC2D4FE-F65A-4D22-819C-70BBD6DD9C6A}" name="Column1" headerRowDxfId="47" dataDxfId="46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10F179-8B81-476B-9D01-D8C766F52A28}" name="Table11" displayName="Table11" ref="A267:A270" headerRowCount="0" totalsRowShown="0" headerRowDxfId="45" dataDxfId="44">
  <tableColumns count="1">
    <tableColumn id="1" xr3:uid="{57A9A24B-D7B0-4E21-A86B-64D5957B61AC}" name="Column1" headerRowDxfId="43" dataDxfId="42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F1944DB-CFC6-4945-985A-0C9479671A2B}" name="Table12" displayName="Table12" ref="A274:A275" headerRowCount="0" totalsRowShown="0" headerRowDxfId="41" dataDxfId="40">
  <tableColumns count="1">
    <tableColumn id="1" xr3:uid="{75086CC1-87C5-4917-A555-33641CC0ED53}" name="Column1" headerRowDxfId="39" dataDxfId="38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EC6A55F-2AF0-4362-9711-A7A845C0FCEF}" name="Table18" displayName="Table18" ref="A297:A301" headerRowCount="0" totalsRowShown="0" headerRowDxfId="37" dataDxfId="36" tableBorderDxfId="35" totalsRowBorderDxfId="34">
  <tableColumns count="1">
    <tableColumn id="1" xr3:uid="{441884C5-583B-4EAF-8530-2A0F2DA8B618}" name="Column1" headerRowDxfId="33" dataDxfId="32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8048499-992F-45B8-8167-D6ED0FE16688}" name="Table19" displayName="Table19" ref="A326:A330" headerRowCount="0" totalsRowShown="0" headerRowDxfId="31" dataDxfId="30">
  <tableColumns count="1">
    <tableColumn id="1" xr3:uid="{AABF6E22-F957-4AFA-83E1-985E64994AD5}" name="Column1" headerRowDxfId="29" dataDxfId="28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86ACDCF-DE7B-4FB4-8553-2F006F8FB26E}" name="Table20" displayName="Table20" ref="A339:A343" headerRowCount="0" totalsRowShown="0" headerRowDxfId="27" dataDxfId="26">
  <tableColumns count="1">
    <tableColumn id="1" xr3:uid="{523F594E-9F01-4434-A283-52BEF87DB6AE}" name="Column1" headerRowDxfId="25" dataDxfId="24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996F62F-7A1A-42AC-991F-C20E0EEAA284}" name="Table23" displayName="Table23" ref="A356:A357" headerRowCount="0" totalsRowShown="0" headerRowDxfId="23" dataDxfId="22">
  <tableColumns count="1">
    <tableColumn id="1" xr3:uid="{CC22D2D2-0AE0-437D-AE96-CA9B4A2A1F08}" name="Column1" headerRowDxfId="21" dataDxfId="20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DBDF50F-79A1-4AC2-836C-13FA16D96266}" name="Table25" displayName="Table25" ref="A370:A376" headerRowCount="0" totalsRowShown="0" headerRowDxfId="19" dataDxfId="18">
  <tableColumns count="1">
    <tableColumn id="1" xr3:uid="{CBAA7896-7381-4A23-AA49-DFE6E72B21B6}" name="Column1" headerRowDxfId="17" dataDxfId="16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0433066-4573-4FE2-9CB6-3C754B0627ED}" name="Table26" displayName="Table26" ref="A389:A392" headerRowCount="0" totalsRowShown="0" headerRowDxfId="15" dataDxfId="14">
  <tableColumns count="1">
    <tableColumn id="1" xr3:uid="{7301FD0E-845A-44B6-BCE4-5A4E5DE49FA0}" name="Column1" headerRowDxfId="13" dataDxfId="12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1FE7DA6-A7A5-4FCA-A0E1-CF88CE242577}" name="Table27" displayName="Table27" ref="A403:A406" headerRowCount="0" totalsRowShown="0" headerRowDxfId="11" dataDxfId="10">
  <tableColumns count="1">
    <tableColumn id="1" xr3:uid="{8C9383AD-AE96-43AC-855D-17FFA1BD4317}" name="Column1" headerRowDxfId="9" dataDxfId="8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48C298-4C51-4A64-874D-1AB2179ABDE7}" name="Table14" displayName="Table14" ref="A53:A54" headerRowCount="0" totalsRowShown="0" headerRowDxfId="7" dataDxfId="6">
  <tableColumns count="1">
    <tableColumn id="1" xr3:uid="{C23BC417-238D-4AB1-9E5C-7DD0A18DEF59}" name="Column1" headerRowDxfId="5" dataDxfId="4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4" dT="2024-09-06T11:17:49.19" personId="{2E0B2914-0544-4FBC-B211-2452DB3CFE4E}" id="{05F3B7C6-E942-4F2B-B5B2-C2B1164AE445}">
    <text>Deze cel kopieert ook de waarde naar cel F60, G60 en H60 en naar G74 en G75.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27" dT="2024-09-03T12:03:22.46" personId="{2E0B2914-0544-4FBC-B211-2452DB3CFE4E}" id="{1CE4A08C-C508-4A03-9779-E23C91C2D096}">
    <text>Deze cel is bepalend voor de AIR  in rij 113, 127, 128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microsoft.com/office/2017/10/relationships/threadedComment" Target="../threadedComments/threadedComment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18" Type="http://schemas.openxmlformats.org/officeDocument/2006/relationships/table" Target="../tables/table15.xml"/><Relationship Id="rId3" Type="http://schemas.openxmlformats.org/officeDocument/2006/relationships/vmlDrawing" Target="../drawings/vmlDrawing4.vml"/><Relationship Id="rId21" Type="http://schemas.openxmlformats.org/officeDocument/2006/relationships/table" Target="../tables/table18.x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" Type="http://schemas.openxmlformats.org/officeDocument/2006/relationships/vmlDrawing" Target="../drawings/vmlDrawing3.vml"/><Relationship Id="rId16" Type="http://schemas.openxmlformats.org/officeDocument/2006/relationships/table" Target="../tables/table13.xml"/><Relationship Id="rId20" Type="http://schemas.openxmlformats.org/officeDocument/2006/relationships/table" Target="../tables/table1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23" Type="http://schemas.microsoft.com/office/2017/10/relationships/threadedComment" Target="../threadedComments/threadedComment2.xml"/><Relationship Id="rId10" Type="http://schemas.openxmlformats.org/officeDocument/2006/relationships/table" Target="../tables/table7.xml"/><Relationship Id="rId19" Type="http://schemas.openxmlformats.org/officeDocument/2006/relationships/table" Target="../tables/table16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Relationship Id="rId2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32D4-ACBD-4BB7-8BF5-5E293EB44DAD}">
  <sheetPr codeName="Sheet1"/>
  <dimension ref="A1:J216"/>
  <sheetViews>
    <sheetView showGridLines="0" tabSelected="1" showWhiteSpace="0" view="pageLayout" topLeftCell="A61" zoomScaleNormal="100" workbookViewId="0">
      <selection activeCell="C74" sqref="C74"/>
    </sheetView>
  </sheetViews>
  <sheetFormatPr defaultColWidth="9.21875" defaultRowHeight="14.4" x14ac:dyDescent="0.3"/>
  <cols>
    <col min="1" max="1" width="10.44140625" style="2" customWidth="1"/>
    <col min="2" max="2" width="9.21875" style="2"/>
    <col min="3" max="3" width="8.5546875" style="2" bestFit="1" customWidth="1"/>
    <col min="4" max="4" width="9.6640625" style="2" customWidth="1"/>
    <col min="5" max="5" width="10.21875" style="2" customWidth="1"/>
    <col min="6" max="6" width="9.5546875" style="2" customWidth="1"/>
    <col min="7" max="7" width="9.21875" style="2"/>
    <col min="8" max="8" width="11.77734375" style="2" customWidth="1"/>
    <col min="9" max="9" width="7.6640625" style="2" customWidth="1"/>
    <col min="10" max="10" width="11.21875" style="2" customWidth="1"/>
    <col min="11" max="16384" width="9.21875" style="2"/>
  </cols>
  <sheetData>
    <row r="1" spans="1:10" x14ac:dyDescent="0.3">
      <c r="A1" s="8" t="s">
        <v>3</v>
      </c>
    </row>
    <row r="2" spans="1:10" ht="17.25" customHeight="1" x14ac:dyDescent="0.3">
      <c r="J2" s="9"/>
    </row>
    <row r="3" spans="1:10" ht="17.25" customHeight="1" x14ac:dyDescent="0.3">
      <c r="A3" s="213" t="s">
        <v>72</v>
      </c>
      <c r="B3" s="214"/>
      <c r="C3" s="225"/>
      <c r="D3" s="226"/>
      <c r="F3" s="9" t="s">
        <v>70</v>
      </c>
      <c r="G3" s="9"/>
      <c r="H3" s="225" t="s">
        <v>628</v>
      </c>
      <c r="I3" s="226"/>
      <c r="J3" s="9"/>
    </row>
    <row r="4" spans="1:10" x14ac:dyDescent="0.3">
      <c r="A4" s="215" t="s">
        <v>73</v>
      </c>
      <c r="B4" s="216"/>
      <c r="C4" s="225"/>
      <c r="D4" s="226"/>
      <c r="E4" s="79"/>
      <c r="F4" s="9" t="s">
        <v>69</v>
      </c>
      <c r="G4" s="9"/>
      <c r="H4" s="228"/>
      <c r="I4" s="229"/>
      <c r="J4" s="23"/>
    </row>
    <row r="5" spans="1:10" x14ac:dyDescent="0.3">
      <c r="A5" s="215" t="s">
        <v>74</v>
      </c>
      <c r="B5" s="216"/>
      <c r="C5" s="227"/>
      <c r="D5" s="226"/>
      <c r="E5" s="79"/>
      <c r="F5" s="106" t="s">
        <v>464</v>
      </c>
      <c r="H5" s="230">
        <v>110089</v>
      </c>
      <c r="I5" s="231"/>
    </row>
    <row r="6" spans="1:10" x14ac:dyDescent="0.3">
      <c r="A6" s="215" t="s">
        <v>75</v>
      </c>
      <c r="B6" s="216"/>
      <c r="C6" s="225"/>
      <c r="D6" s="226"/>
      <c r="E6" s="79"/>
      <c r="F6" s="106" t="s">
        <v>463</v>
      </c>
      <c r="G6" s="106"/>
      <c r="H6" s="232">
        <v>401475</v>
      </c>
      <c r="I6" s="233"/>
    </row>
    <row r="7" spans="1:10" x14ac:dyDescent="0.3">
      <c r="A7" s="93" t="s">
        <v>713</v>
      </c>
      <c r="B7" s="94"/>
      <c r="C7" s="225" t="s">
        <v>715</v>
      </c>
      <c r="D7" s="226"/>
      <c r="E7" s="79"/>
      <c r="F7" s="106"/>
      <c r="G7" s="106"/>
      <c r="H7" s="155"/>
      <c r="I7" s="106"/>
    </row>
    <row r="8" spans="1:10" x14ac:dyDescent="0.3">
      <c r="A8" s="93" t="s">
        <v>798</v>
      </c>
      <c r="B8" s="94"/>
      <c r="C8" s="225" t="s">
        <v>803</v>
      </c>
      <c r="D8" s="226"/>
      <c r="E8" s="79"/>
      <c r="F8" s="93" t="s">
        <v>799</v>
      </c>
      <c r="G8" s="94"/>
      <c r="H8" s="225"/>
      <c r="I8" s="226"/>
    </row>
    <row r="9" spans="1:10" ht="16.5" customHeight="1" x14ac:dyDescent="0.3">
      <c r="A9" s="93"/>
      <c r="B9" s="94"/>
      <c r="C9" s="79"/>
      <c r="D9" s="79"/>
      <c r="E9" s="79"/>
      <c r="G9" s="106"/>
      <c r="H9" s="107"/>
      <c r="I9" s="79"/>
    </row>
    <row r="10" spans="1:10" ht="29.55" customHeight="1" x14ac:dyDescent="0.3">
      <c r="A10" s="117" t="s">
        <v>71</v>
      </c>
      <c r="B10" s="140"/>
      <c r="C10" s="217" t="s">
        <v>612</v>
      </c>
      <c r="D10" s="218"/>
      <c r="E10" s="220" t="s">
        <v>826</v>
      </c>
      <c r="F10" s="221"/>
      <c r="G10" s="221"/>
      <c r="H10" s="221"/>
      <c r="I10" s="222"/>
      <c r="J10" s="128"/>
    </row>
    <row r="11" spans="1:10" ht="16.5" customHeight="1" x14ac:dyDescent="0.3">
      <c r="A11" s="93"/>
      <c r="B11" s="94"/>
      <c r="C11" s="217" t="s">
        <v>562</v>
      </c>
      <c r="D11" s="219"/>
      <c r="E11" s="152" t="str">
        <f>IFERROR(VLOOKUP(E10,values!$AW:$AX,2,0),"")</f>
        <v>36.1b</v>
      </c>
      <c r="F11" s="152"/>
      <c r="G11" s="164"/>
      <c r="H11" s="223"/>
      <c r="I11" s="224"/>
      <c r="J11" s="127"/>
    </row>
    <row r="12" spans="1:10" x14ac:dyDescent="0.3">
      <c r="A12" s="93"/>
      <c r="B12" s="94"/>
      <c r="C12" s="236" t="str">
        <f>IF(COUNTIF($E$10,"*1.6m*"),VLOOKUP($E$11,values!$AX:$AY,2,0),"")</f>
        <v/>
      </c>
      <c r="D12" s="237"/>
      <c r="E12" s="237"/>
      <c r="F12" s="237"/>
      <c r="G12" s="237"/>
      <c r="H12" s="237"/>
      <c r="I12" s="238"/>
      <c r="J12" s="118"/>
    </row>
    <row r="13" spans="1:10" x14ac:dyDescent="0.3">
      <c r="A13" s="93"/>
      <c r="B13" s="94"/>
      <c r="C13" s="94"/>
      <c r="D13" s="94"/>
      <c r="E13" s="94"/>
      <c r="F13" s="94"/>
      <c r="G13" s="94"/>
      <c r="H13" s="94"/>
      <c r="I13" s="94"/>
      <c r="J13" s="118"/>
    </row>
    <row r="14" spans="1:10" x14ac:dyDescent="0.3">
      <c r="A14" s="8" t="s">
        <v>4</v>
      </c>
    </row>
    <row r="15" spans="1:10" x14ac:dyDescent="0.3">
      <c r="A15" s="10" t="s">
        <v>0</v>
      </c>
      <c r="B15" s="10"/>
      <c r="C15" s="10"/>
      <c r="D15" s="10"/>
      <c r="E15" s="10" t="s">
        <v>1</v>
      </c>
      <c r="F15" s="10"/>
      <c r="G15" s="10"/>
      <c r="H15" s="9" t="s">
        <v>2</v>
      </c>
      <c r="I15" s="8"/>
      <c r="J15" s="8"/>
    </row>
    <row r="16" spans="1:10" x14ac:dyDescent="0.3">
      <c r="A16" s="234" t="s">
        <v>863</v>
      </c>
      <c r="B16" s="181"/>
      <c r="C16" s="181"/>
      <c r="D16" s="235"/>
      <c r="E16" s="208" t="str">
        <f>IFERROR(VLOOKUP($A16,values!$BB:$BC,2,0),"")</f>
        <v>Verwerver</v>
      </c>
      <c r="F16" s="241"/>
      <c r="G16" s="209"/>
      <c r="H16" s="208" t="str">
        <f>IFERROR(VLOOKUP($A16,values!$BB:$BD,3,0),"")</f>
        <v>Ericsson</v>
      </c>
      <c r="I16" s="239"/>
      <c r="J16" s="3"/>
    </row>
    <row r="17" spans="1:10" x14ac:dyDescent="0.3">
      <c r="A17" s="234"/>
      <c r="B17" s="181"/>
      <c r="C17" s="181"/>
      <c r="D17" s="235"/>
      <c r="E17" s="208" t="str">
        <f>IFERROR(VLOOKUP($A17,values!$BB:$BC,2,0),"")</f>
        <v/>
      </c>
      <c r="F17" s="241"/>
      <c r="G17" s="209"/>
      <c r="H17" s="208" t="str">
        <f>IFERROR(VLOOKUP($A17,values!$BB:$BD,3,0),"")</f>
        <v/>
      </c>
      <c r="I17" s="239"/>
      <c r="J17" s="3"/>
    </row>
    <row r="18" spans="1:10" x14ac:dyDescent="0.3">
      <c r="A18" s="234"/>
      <c r="B18" s="181"/>
      <c r="C18" s="181"/>
      <c r="D18" s="235"/>
      <c r="E18" s="208" t="str">
        <f>IFERROR(VLOOKUP($A18,values!$BB:$BC,2,0),"")</f>
        <v/>
      </c>
      <c r="F18" s="241"/>
      <c r="G18" s="209"/>
      <c r="H18" s="208" t="str">
        <f>IFERROR(VLOOKUP($A18,values!$BB:$BD,3,0),"")</f>
        <v/>
      </c>
      <c r="I18" s="239"/>
      <c r="J18" s="3"/>
    </row>
    <row r="19" spans="1:10" x14ac:dyDescent="0.3">
      <c r="A19" s="234"/>
      <c r="B19" s="181"/>
      <c r="C19" s="181"/>
      <c r="D19" s="235"/>
      <c r="E19" s="248"/>
      <c r="F19" s="249"/>
      <c r="G19" s="250"/>
      <c r="H19" s="234"/>
      <c r="I19" s="240"/>
      <c r="J19" s="95" t="s">
        <v>635</v>
      </c>
    </row>
    <row r="20" spans="1:10" x14ac:dyDescent="0.3">
      <c r="A20" s="234"/>
      <c r="B20" s="181"/>
      <c r="C20" s="181"/>
      <c r="D20" s="235"/>
      <c r="E20" s="248"/>
      <c r="F20" s="249"/>
      <c r="G20" s="250"/>
      <c r="H20" s="234"/>
      <c r="I20" s="240"/>
      <c r="J20" s="96" t="s">
        <v>595</v>
      </c>
    </row>
    <row r="22" spans="1:10" x14ac:dyDescent="0.3">
      <c r="A22" s="8" t="s">
        <v>63</v>
      </c>
      <c r="J22" s="23"/>
    </row>
    <row r="23" spans="1:10" x14ac:dyDescent="0.3">
      <c r="A23" s="186" t="s">
        <v>34</v>
      </c>
      <c r="B23" s="186"/>
      <c r="C23" s="186"/>
      <c r="D23" s="186"/>
      <c r="E23" s="186"/>
      <c r="F23" s="186"/>
      <c r="G23" s="186"/>
      <c r="H23" s="186"/>
      <c r="I23" s="186"/>
      <c r="J23" s="186"/>
    </row>
    <row r="24" spans="1:10" s="14" customFormat="1" ht="43.2" x14ac:dyDescent="0.3">
      <c r="A24" s="11"/>
      <c r="B24" s="11" t="s">
        <v>35</v>
      </c>
      <c r="C24" s="12" t="s">
        <v>36</v>
      </c>
      <c r="D24" s="13" t="s">
        <v>77</v>
      </c>
      <c r="E24" s="11" t="s">
        <v>65</v>
      </c>
      <c r="F24" s="11" t="s">
        <v>37</v>
      </c>
      <c r="G24" s="11" t="s">
        <v>38</v>
      </c>
      <c r="H24" s="11" t="s">
        <v>39</v>
      </c>
      <c r="I24" s="13" t="s">
        <v>793</v>
      </c>
    </row>
    <row r="25" spans="1:10" s="14" customFormat="1" x14ac:dyDescent="0.3">
      <c r="A25" s="15" t="s">
        <v>41</v>
      </c>
      <c r="B25" s="16" t="s">
        <v>42</v>
      </c>
      <c r="C25" s="15" t="s">
        <v>113</v>
      </c>
      <c r="D25" s="13"/>
      <c r="E25" s="11"/>
      <c r="F25" s="13"/>
      <c r="G25" s="11"/>
      <c r="H25" s="11"/>
      <c r="I25" s="175" t="s">
        <v>875</v>
      </c>
    </row>
    <row r="26" spans="1:10" x14ac:dyDescent="0.3">
      <c r="A26" s="16"/>
      <c r="B26" s="16" t="s">
        <v>42</v>
      </c>
      <c r="C26" s="16">
        <v>800</v>
      </c>
      <c r="D26" s="6" t="s">
        <v>636</v>
      </c>
      <c r="E26" s="6" t="s">
        <v>86</v>
      </c>
      <c r="F26" s="6" t="s">
        <v>91</v>
      </c>
      <c r="G26" s="6" t="s">
        <v>91</v>
      </c>
      <c r="H26" s="6" t="s">
        <v>91</v>
      </c>
      <c r="I26" s="176"/>
    </row>
    <row r="27" spans="1:10" x14ac:dyDescent="0.3">
      <c r="A27" s="16"/>
      <c r="B27" s="16" t="s">
        <v>43</v>
      </c>
      <c r="C27" s="16">
        <v>900</v>
      </c>
      <c r="D27" s="6" t="s">
        <v>636</v>
      </c>
      <c r="E27" s="6" t="s">
        <v>80</v>
      </c>
      <c r="F27" s="6" t="s">
        <v>93</v>
      </c>
      <c r="G27" s="6" t="s">
        <v>93</v>
      </c>
      <c r="H27" s="6" t="s">
        <v>93</v>
      </c>
      <c r="I27" s="176"/>
    </row>
    <row r="28" spans="1:10" x14ac:dyDescent="0.3">
      <c r="A28" s="147" t="s">
        <v>787</v>
      </c>
      <c r="B28" s="15" t="s">
        <v>42</v>
      </c>
      <c r="C28" s="15" t="s">
        <v>114</v>
      </c>
      <c r="D28" s="6"/>
      <c r="E28" s="6"/>
      <c r="F28" s="6"/>
      <c r="G28" s="17"/>
      <c r="H28" s="17"/>
      <c r="I28" s="176"/>
    </row>
    <row r="29" spans="1:10" x14ac:dyDescent="0.3">
      <c r="A29" s="15" t="s">
        <v>44</v>
      </c>
      <c r="B29" s="16" t="s">
        <v>42</v>
      </c>
      <c r="C29" s="16">
        <v>1800</v>
      </c>
      <c r="D29" s="6" t="s">
        <v>636</v>
      </c>
      <c r="E29" s="6" t="s">
        <v>86</v>
      </c>
      <c r="F29" s="6" t="s">
        <v>91</v>
      </c>
      <c r="G29" s="6" t="s">
        <v>91</v>
      </c>
      <c r="H29" s="6" t="s">
        <v>91</v>
      </c>
      <c r="I29" s="176"/>
    </row>
    <row r="30" spans="1:10" x14ac:dyDescent="0.3">
      <c r="A30" s="16"/>
      <c r="B30" s="16" t="s">
        <v>42</v>
      </c>
      <c r="C30" s="88">
        <v>2100</v>
      </c>
      <c r="D30" s="6"/>
      <c r="E30" s="6"/>
      <c r="F30" s="6"/>
      <c r="G30" s="6"/>
      <c r="H30" s="6"/>
      <c r="I30" s="176"/>
    </row>
    <row r="31" spans="1:10" x14ac:dyDescent="0.3">
      <c r="A31" s="16"/>
      <c r="B31" s="16" t="s">
        <v>42</v>
      </c>
      <c r="C31" s="88">
        <v>2600</v>
      </c>
      <c r="D31" s="6"/>
      <c r="E31" s="6"/>
      <c r="F31" s="6"/>
      <c r="G31" s="6"/>
      <c r="H31" s="6"/>
      <c r="I31" s="176"/>
    </row>
    <row r="32" spans="1:10" x14ac:dyDescent="0.3">
      <c r="A32" s="16"/>
      <c r="B32" s="15" t="s">
        <v>740</v>
      </c>
      <c r="C32" s="88">
        <v>3500</v>
      </c>
      <c r="D32" s="6"/>
      <c r="E32" s="6" t="s">
        <v>89</v>
      </c>
      <c r="F32" s="6"/>
      <c r="G32" s="6"/>
      <c r="H32" s="6"/>
      <c r="I32" s="177"/>
    </row>
    <row r="34" spans="1:10" s="18" customFormat="1" ht="21.6" x14ac:dyDescent="0.3">
      <c r="A34" s="11"/>
      <c r="B34" s="11" t="s">
        <v>35</v>
      </c>
      <c r="C34" s="12" t="s">
        <v>36</v>
      </c>
      <c r="D34" s="136" t="s">
        <v>45</v>
      </c>
      <c r="E34" s="11" t="s">
        <v>46</v>
      </c>
      <c r="F34" s="12" t="s">
        <v>47</v>
      </c>
      <c r="G34" s="133" t="s">
        <v>48</v>
      </c>
      <c r="H34" s="198" t="s">
        <v>719</v>
      </c>
      <c r="I34" s="198"/>
      <c r="J34" s="199"/>
    </row>
    <row r="35" spans="1:10" x14ac:dyDescent="0.3">
      <c r="A35" s="16" t="s">
        <v>41</v>
      </c>
      <c r="B35" s="15" t="s">
        <v>740</v>
      </c>
      <c r="C35" s="15" t="s">
        <v>113</v>
      </c>
      <c r="D35" s="6"/>
      <c r="E35" s="6"/>
      <c r="F35" s="6"/>
      <c r="G35" s="134"/>
      <c r="H35" s="174" t="s">
        <v>730</v>
      </c>
      <c r="I35" s="200"/>
      <c r="J35" s="32" t="s">
        <v>89</v>
      </c>
    </row>
    <row r="36" spans="1:10" x14ac:dyDescent="0.3">
      <c r="A36" s="16" t="s">
        <v>41</v>
      </c>
      <c r="B36" s="16" t="s">
        <v>42</v>
      </c>
      <c r="C36" s="16">
        <v>800</v>
      </c>
      <c r="D36" s="6"/>
      <c r="E36" s="6"/>
      <c r="F36" s="6"/>
      <c r="G36" s="134"/>
      <c r="H36" s="174" t="s">
        <v>720</v>
      </c>
      <c r="I36" s="200"/>
      <c r="J36" s="32" t="s">
        <v>89</v>
      </c>
    </row>
    <row r="37" spans="1:10" ht="24" customHeight="1" x14ac:dyDescent="0.3">
      <c r="A37" s="16"/>
      <c r="B37" s="16" t="s">
        <v>43</v>
      </c>
      <c r="C37" s="16">
        <v>900</v>
      </c>
      <c r="D37" s="6"/>
      <c r="E37" s="6"/>
      <c r="F37" s="6"/>
      <c r="G37" s="134"/>
      <c r="H37" s="202" t="s">
        <v>731</v>
      </c>
      <c r="I37" s="202"/>
      <c r="J37" s="138" t="s">
        <v>735</v>
      </c>
    </row>
    <row r="38" spans="1:10" ht="37.049999999999997" customHeight="1" x14ac:dyDescent="0.3">
      <c r="A38" s="147" t="s">
        <v>787</v>
      </c>
      <c r="B38" s="15" t="s">
        <v>42</v>
      </c>
      <c r="C38" s="15" t="s">
        <v>114</v>
      </c>
      <c r="D38" s="6"/>
      <c r="E38" s="6"/>
      <c r="F38" s="6"/>
      <c r="G38" s="135"/>
      <c r="H38" s="202" t="s">
        <v>732</v>
      </c>
      <c r="I38" s="202"/>
      <c r="J38" s="139" t="s">
        <v>734</v>
      </c>
    </row>
    <row r="39" spans="1:10" ht="42" customHeight="1" x14ac:dyDescent="0.3">
      <c r="A39" s="15" t="s">
        <v>44</v>
      </c>
      <c r="B39" s="16" t="s">
        <v>42</v>
      </c>
      <c r="C39" s="16">
        <v>1800</v>
      </c>
      <c r="D39" s="6"/>
      <c r="E39" s="6"/>
      <c r="F39" s="6" t="s">
        <v>47</v>
      </c>
      <c r="G39" s="135"/>
      <c r="H39" s="203" t="s">
        <v>733</v>
      </c>
      <c r="I39" s="203"/>
      <c r="J39" s="211" t="s">
        <v>842</v>
      </c>
    </row>
    <row r="40" spans="1:10" ht="15.6" customHeight="1" x14ac:dyDescent="0.3">
      <c r="A40" s="16"/>
      <c r="B40" s="16" t="s">
        <v>42</v>
      </c>
      <c r="C40" s="88">
        <v>2100</v>
      </c>
      <c r="D40" s="6"/>
      <c r="E40" s="6"/>
      <c r="F40" s="6"/>
      <c r="G40" s="134"/>
      <c r="I40" s="157"/>
      <c r="J40" s="212"/>
    </row>
    <row r="41" spans="1:10" x14ac:dyDescent="0.3">
      <c r="A41" s="16"/>
      <c r="B41" s="16" t="s">
        <v>42</v>
      </c>
      <c r="C41" s="88">
        <v>2600</v>
      </c>
      <c r="D41" s="6"/>
      <c r="E41" s="6"/>
      <c r="F41" s="6"/>
      <c r="G41" s="134"/>
      <c r="H41" s="201"/>
      <c r="I41" s="201"/>
    </row>
    <row r="42" spans="1:10" s="18" customFormat="1" x14ac:dyDescent="0.3">
      <c r="A42" s="16"/>
      <c r="B42" s="15" t="s">
        <v>740</v>
      </c>
      <c r="C42" s="88">
        <v>3500</v>
      </c>
      <c r="D42" s="6"/>
      <c r="E42" s="6"/>
      <c r="F42" s="6"/>
      <c r="G42" s="6"/>
    </row>
    <row r="43" spans="1:10" s="18" customFormat="1" x14ac:dyDescent="0.3"/>
    <row r="44" spans="1:10" ht="30" customHeight="1" x14ac:dyDescent="0.3">
      <c r="A44" s="11" t="s">
        <v>49</v>
      </c>
      <c r="B44" s="207" t="s">
        <v>108</v>
      </c>
      <c r="C44" s="199"/>
      <c r="D44" s="13" t="s">
        <v>349</v>
      </c>
      <c r="E44" s="13" t="s">
        <v>350</v>
      </c>
      <c r="F44" s="11" t="s">
        <v>49</v>
      </c>
      <c r="G44" s="207" t="s">
        <v>108</v>
      </c>
      <c r="H44" s="199"/>
      <c r="I44" s="13" t="s">
        <v>349</v>
      </c>
      <c r="J44" s="13" t="s">
        <v>350</v>
      </c>
    </row>
    <row r="45" spans="1:10" ht="31.2" customHeight="1" x14ac:dyDescent="0.3">
      <c r="A45" s="16" t="s">
        <v>51</v>
      </c>
      <c r="B45" s="182" t="s">
        <v>585</v>
      </c>
      <c r="C45" s="183"/>
      <c r="D45" s="7" t="s">
        <v>758</v>
      </c>
      <c r="E45" s="6" t="s">
        <v>761</v>
      </c>
      <c r="F45" s="16" t="s">
        <v>52</v>
      </c>
      <c r="G45" s="184"/>
      <c r="H45" s="185"/>
      <c r="I45" s="6"/>
      <c r="J45" s="6"/>
    </row>
    <row r="46" spans="1:10" ht="31.2" customHeight="1" x14ac:dyDescent="0.3">
      <c r="A46" s="16" t="s">
        <v>53</v>
      </c>
      <c r="B46" s="182" t="s">
        <v>585</v>
      </c>
      <c r="C46" s="183"/>
      <c r="D46" s="7" t="s">
        <v>759</v>
      </c>
      <c r="E46" s="6" t="s">
        <v>761</v>
      </c>
      <c r="F46" s="16" t="s">
        <v>54</v>
      </c>
      <c r="G46" s="184"/>
      <c r="H46" s="185"/>
      <c r="I46" s="6"/>
      <c r="J46" s="6"/>
    </row>
    <row r="47" spans="1:10" ht="31.2" customHeight="1" x14ac:dyDescent="0.3">
      <c r="A47" s="16" t="s">
        <v>55</v>
      </c>
      <c r="B47" s="182" t="s">
        <v>585</v>
      </c>
      <c r="C47" s="183"/>
      <c r="D47" s="7" t="s">
        <v>760</v>
      </c>
      <c r="E47" s="6" t="s">
        <v>761</v>
      </c>
      <c r="F47" s="16" t="s">
        <v>56</v>
      </c>
      <c r="G47" s="184"/>
      <c r="H47" s="185"/>
      <c r="I47" s="6"/>
      <c r="J47" s="6"/>
    </row>
    <row r="48" spans="1:10" ht="15" thickBot="1" x14ac:dyDescent="0.35"/>
    <row r="49" spans="1:10" ht="22.5" customHeight="1" x14ac:dyDescent="0.3">
      <c r="A49" s="187" t="s">
        <v>639</v>
      </c>
      <c r="B49" s="188"/>
      <c r="C49" s="188"/>
    </row>
    <row r="50" spans="1:10" s="18" customFormat="1" ht="30" customHeight="1" x14ac:dyDescent="0.3">
      <c r="A50" s="11" t="s">
        <v>49</v>
      </c>
      <c r="B50" s="196" t="s">
        <v>108</v>
      </c>
      <c r="C50" s="197"/>
      <c r="D50" s="13" t="s">
        <v>349</v>
      </c>
      <c r="E50" s="91" t="s">
        <v>350</v>
      </c>
      <c r="F50" s="2"/>
      <c r="G50" s="2"/>
      <c r="H50" s="2"/>
      <c r="I50" s="2"/>
      <c r="J50" s="2"/>
    </row>
    <row r="51" spans="1:10" ht="18" customHeight="1" x14ac:dyDescent="0.3">
      <c r="A51" s="16" t="s">
        <v>51</v>
      </c>
      <c r="B51" s="172" t="s">
        <v>774</v>
      </c>
      <c r="C51" s="172"/>
      <c r="D51" s="6" t="s">
        <v>758</v>
      </c>
      <c r="E51" s="92" t="s">
        <v>879</v>
      </c>
    </row>
    <row r="52" spans="1:10" ht="19.8" customHeight="1" x14ac:dyDescent="0.3">
      <c r="A52" s="16" t="s">
        <v>53</v>
      </c>
      <c r="B52" s="172" t="s">
        <v>774</v>
      </c>
      <c r="C52" s="172"/>
      <c r="D52" s="6" t="s">
        <v>759</v>
      </c>
      <c r="E52" s="92" t="s">
        <v>879</v>
      </c>
    </row>
    <row r="53" spans="1:10" ht="19.8" customHeight="1" x14ac:dyDescent="0.3">
      <c r="A53" s="16" t="s">
        <v>55</v>
      </c>
      <c r="B53" s="172" t="s">
        <v>774</v>
      </c>
      <c r="C53" s="172"/>
      <c r="D53" s="6" t="s">
        <v>760</v>
      </c>
      <c r="E53" s="92" t="s">
        <v>879</v>
      </c>
    </row>
    <row r="55" spans="1:10" ht="27.75" customHeight="1" x14ac:dyDescent="0.3">
      <c r="A55" s="126" t="s">
        <v>613</v>
      </c>
      <c r="B55" s="125" t="s">
        <v>68</v>
      </c>
      <c r="D55" s="193" t="s">
        <v>877</v>
      </c>
      <c r="E55" s="125" t="s">
        <v>68</v>
      </c>
      <c r="F55" s="79"/>
      <c r="G55" s="195" t="s">
        <v>661</v>
      </c>
      <c r="H55" s="195"/>
      <c r="I55" s="195"/>
      <c r="J55" s="195"/>
    </row>
    <row r="56" spans="1:10" x14ac:dyDescent="0.3">
      <c r="A56" s="6"/>
      <c r="B56" s="97"/>
      <c r="D56" s="194"/>
      <c r="E56" s="151">
        <v>4</v>
      </c>
      <c r="F56" s="108"/>
      <c r="G56" s="195"/>
      <c r="H56" s="195"/>
      <c r="I56" s="195"/>
      <c r="J56" s="195"/>
    </row>
    <row r="59" spans="1:10" x14ac:dyDescent="0.3">
      <c r="A59" s="9" t="s">
        <v>64</v>
      </c>
      <c r="D59" s="210" t="s">
        <v>800</v>
      </c>
      <c r="E59" s="210"/>
      <c r="F59" s="210"/>
      <c r="G59" s="210"/>
      <c r="H59" s="210"/>
      <c r="I59" s="210"/>
      <c r="J59" s="210"/>
    </row>
    <row r="60" spans="1:10" ht="15" customHeight="1" x14ac:dyDescent="0.3">
      <c r="A60" s="186" t="s">
        <v>34</v>
      </c>
      <c r="B60" s="186"/>
      <c r="C60" s="186"/>
      <c r="D60" s="186"/>
      <c r="E60" s="186"/>
      <c r="F60" s="186"/>
      <c r="G60" s="186"/>
      <c r="H60" s="186"/>
      <c r="I60" s="186"/>
      <c r="J60" s="186"/>
    </row>
    <row r="61" spans="1:10" s="14" customFormat="1" ht="41.4" x14ac:dyDescent="0.3">
      <c r="A61" s="11"/>
      <c r="B61" s="11" t="s">
        <v>35</v>
      </c>
      <c r="C61" s="12" t="s">
        <v>36</v>
      </c>
      <c r="D61" s="13" t="s">
        <v>77</v>
      </c>
      <c r="E61" s="11" t="s">
        <v>65</v>
      </c>
      <c r="F61" s="119" t="s">
        <v>37</v>
      </c>
      <c r="G61" s="119" t="s">
        <v>38</v>
      </c>
      <c r="H61" s="119" t="s">
        <v>39</v>
      </c>
      <c r="I61" s="13" t="s">
        <v>793</v>
      </c>
    </row>
    <row r="62" spans="1:10" s="14" customFormat="1" x14ac:dyDescent="0.3">
      <c r="A62" s="15" t="s">
        <v>794</v>
      </c>
      <c r="B62" s="19" t="s">
        <v>740</v>
      </c>
      <c r="C62" s="87">
        <v>700</v>
      </c>
      <c r="D62" s="148">
        <v>6150</v>
      </c>
      <c r="E62" s="6" t="s">
        <v>745</v>
      </c>
      <c r="F62" s="6" t="s">
        <v>89</v>
      </c>
      <c r="G62" s="149" t="str">
        <f>IF($F62="","",$F62)</f>
        <v>X</v>
      </c>
      <c r="H62" s="170"/>
      <c r="I62" s="175" t="s">
        <v>791</v>
      </c>
    </row>
    <row r="63" spans="1:10" x14ac:dyDescent="0.3">
      <c r="A63" s="16"/>
      <c r="B63" s="16" t="s">
        <v>42</v>
      </c>
      <c r="C63" s="16">
        <v>800</v>
      </c>
      <c r="D63" s="148">
        <v>6150</v>
      </c>
      <c r="E63" s="6" t="s">
        <v>745</v>
      </c>
      <c r="F63" s="6">
        <v>2460</v>
      </c>
      <c r="G63" s="149">
        <f t="shared" ref="G63:G68" si="0">IF($F63="","",$F63)</f>
        <v>2460</v>
      </c>
      <c r="H63" s="170"/>
      <c r="I63" s="176"/>
    </row>
    <row r="64" spans="1:10" x14ac:dyDescent="0.3">
      <c r="A64" s="16"/>
      <c r="B64" s="16" t="s">
        <v>43</v>
      </c>
      <c r="C64" s="16">
        <v>900</v>
      </c>
      <c r="D64" s="148">
        <v>6150</v>
      </c>
      <c r="E64" s="150" t="str">
        <f>values!$D$4</f>
        <v>DUG20</v>
      </c>
      <c r="F64" s="149">
        <f>IF($F63="","",$F63)</f>
        <v>2460</v>
      </c>
      <c r="G64" s="149">
        <f t="shared" si="0"/>
        <v>2460</v>
      </c>
      <c r="H64" s="170"/>
      <c r="I64" s="176"/>
    </row>
    <row r="65" spans="1:10" x14ac:dyDescent="0.3">
      <c r="A65" s="147" t="s">
        <v>795</v>
      </c>
      <c r="B65" s="16" t="s">
        <v>42</v>
      </c>
      <c r="C65" s="88">
        <v>1400</v>
      </c>
      <c r="D65" s="6"/>
      <c r="E65" s="6"/>
      <c r="F65" s="6">
        <v>2012</v>
      </c>
      <c r="G65" s="149">
        <f t="shared" si="0"/>
        <v>2012</v>
      </c>
      <c r="H65" s="170"/>
      <c r="I65" s="176"/>
    </row>
    <row r="66" spans="1:10" x14ac:dyDescent="0.3">
      <c r="A66" s="15" t="s">
        <v>796</v>
      </c>
      <c r="B66" s="16" t="s">
        <v>42</v>
      </c>
      <c r="C66" s="89">
        <v>1800</v>
      </c>
      <c r="D66" s="6"/>
      <c r="E66" s="6"/>
      <c r="F66" s="6">
        <v>2260</v>
      </c>
      <c r="G66" s="6">
        <v>2260</v>
      </c>
      <c r="H66" s="170"/>
      <c r="I66" s="176"/>
    </row>
    <row r="67" spans="1:10" x14ac:dyDescent="0.3">
      <c r="A67" s="16"/>
      <c r="B67" s="15" t="s">
        <v>42</v>
      </c>
      <c r="C67" s="88">
        <v>2100</v>
      </c>
      <c r="D67" s="6"/>
      <c r="E67" s="6"/>
      <c r="F67" s="149">
        <f>IF($F66="","",$F66)</f>
        <v>2260</v>
      </c>
      <c r="G67" s="149">
        <f>IF($G66="","",$G66)</f>
        <v>2260</v>
      </c>
      <c r="H67" s="170"/>
      <c r="I67" s="176"/>
    </row>
    <row r="68" spans="1:10" x14ac:dyDescent="0.3">
      <c r="A68" s="16"/>
      <c r="B68" s="16" t="s">
        <v>42</v>
      </c>
      <c r="C68" s="89">
        <v>2600</v>
      </c>
      <c r="D68" s="6"/>
      <c r="E68" s="6"/>
      <c r="F68" s="6">
        <v>4471</v>
      </c>
      <c r="G68" s="149">
        <f t="shared" si="0"/>
        <v>4471</v>
      </c>
      <c r="H68" s="170"/>
      <c r="I68" s="176"/>
    </row>
    <row r="69" spans="1:10" x14ac:dyDescent="0.3">
      <c r="A69" s="16"/>
      <c r="B69" s="15" t="s">
        <v>740</v>
      </c>
      <c r="C69" s="88">
        <v>3500</v>
      </c>
      <c r="D69" s="6">
        <v>6150</v>
      </c>
      <c r="E69" s="6"/>
      <c r="F69" s="149" t="str">
        <f>IF($G84="","",LEFT($G84,7))</f>
        <v>AIR3258</v>
      </c>
      <c r="G69" s="149" t="str">
        <f>IF($G84="","",LEFT($G84,7))</f>
        <v>AIR3258</v>
      </c>
      <c r="H69" s="170"/>
      <c r="I69" s="177"/>
    </row>
    <row r="70" spans="1:10" ht="28.8" x14ac:dyDescent="0.3">
      <c r="A70" s="167" t="s">
        <v>853</v>
      </c>
      <c r="B70" s="15" t="s">
        <v>740</v>
      </c>
      <c r="C70" s="88">
        <v>3500</v>
      </c>
      <c r="D70" s="168"/>
      <c r="E70" s="168"/>
      <c r="F70" s="111" t="s">
        <v>854</v>
      </c>
      <c r="G70" s="111" t="s">
        <v>854</v>
      </c>
      <c r="H70" s="111" t="s">
        <v>854</v>
      </c>
      <c r="I70" s="169"/>
    </row>
    <row r="72" spans="1:10" s="18" customFormat="1" x14ac:dyDescent="0.3">
      <c r="A72" s="11"/>
      <c r="B72" s="11" t="s">
        <v>35</v>
      </c>
      <c r="C72" s="12" t="s">
        <v>36</v>
      </c>
      <c r="D72" s="11" t="s">
        <v>46</v>
      </c>
      <c r="E72" s="12" t="s">
        <v>641</v>
      </c>
      <c r="F72" s="120"/>
      <c r="H72" s="207" t="s">
        <v>719</v>
      </c>
      <c r="I72" s="198"/>
      <c r="J72" s="199"/>
    </row>
    <row r="73" spans="1:10" s="18" customFormat="1" x14ac:dyDescent="0.3">
      <c r="A73" s="15" t="s">
        <v>794</v>
      </c>
      <c r="B73" s="19" t="s">
        <v>740</v>
      </c>
      <c r="C73" s="87">
        <v>700</v>
      </c>
      <c r="D73" s="6"/>
      <c r="E73" s="120"/>
      <c r="F73" s="120"/>
      <c r="H73" s="200" t="s">
        <v>720</v>
      </c>
      <c r="I73" s="200"/>
      <c r="J73" s="32" t="s">
        <v>880</v>
      </c>
    </row>
    <row r="74" spans="1:10" x14ac:dyDescent="0.3">
      <c r="A74" s="16"/>
      <c r="B74" s="16" t="s">
        <v>42</v>
      </c>
      <c r="C74" s="16">
        <v>800</v>
      </c>
      <c r="D74" s="6"/>
      <c r="E74" s="120"/>
      <c r="F74" s="120"/>
      <c r="H74" s="178" t="s">
        <v>876</v>
      </c>
      <c r="I74" s="179"/>
      <c r="J74" s="180"/>
    </row>
    <row r="75" spans="1:10" x14ac:dyDescent="0.3">
      <c r="A75" s="16"/>
      <c r="B75" s="16" t="s">
        <v>43</v>
      </c>
      <c r="C75" s="16">
        <v>900</v>
      </c>
      <c r="D75" s="6"/>
      <c r="E75" s="120"/>
      <c r="F75" s="120"/>
      <c r="H75" s="242"/>
      <c r="I75" s="242"/>
      <c r="J75" s="159"/>
    </row>
    <row r="76" spans="1:10" x14ac:dyDescent="0.3">
      <c r="A76" s="147" t="s">
        <v>795</v>
      </c>
      <c r="B76" s="15" t="s">
        <v>42</v>
      </c>
      <c r="C76" s="88">
        <v>1400</v>
      </c>
      <c r="D76" s="6"/>
      <c r="E76" s="6" t="s">
        <v>824</v>
      </c>
      <c r="F76" s="120"/>
      <c r="H76" s="242"/>
      <c r="I76" s="242"/>
      <c r="J76" s="158"/>
    </row>
    <row r="77" spans="1:10" x14ac:dyDescent="0.3">
      <c r="A77" s="15" t="s">
        <v>796</v>
      </c>
      <c r="B77" s="16" t="s">
        <v>42</v>
      </c>
      <c r="C77" s="89">
        <v>1800</v>
      </c>
      <c r="D77" s="6"/>
      <c r="E77" s="120"/>
      <c r="F77" s="120"/>
      <c r="H77" s="242"/>
      <c r="I77" s="242"/>
      <c r="J77" s="243"/>
    </row>
    <row r="78" spans="1:10" x14ac:dyDescent="0.3">
      <c r="A78" s="16"/>
      <c r="B78" s="16" t="s">
        <v>42</v>
      </c>
      <c r="C78" s="88">
        <v>2100</v>
      </c>
      <c r="D78" s="6"/>
      <c r="E78" s="120"/>
      <c r="F78" s="120"/>
      <c r="J78" s="243"/>
    </row>
    <row r="79" spans="1:10" x14ac:dyDescent="0.3">
      <c r="A79" s="16"/>
      <c r="B79" s="16" t="s">
        <v>42</v>
      </c>
      <c r="C79" s="89">
        <v>2600</v>
      </c>
      <c r="D79" s="6"/>
      <c r="E79" s="120"/>
      <c r="F79" s="120"/>
    </row>
    <row r="80" spans="1:10" x14ac:dyDescent="0.3">
      <c r="A80" s="8"/>
      <c r="B80" s="8"/>
      <c r="C80" s="94"/>
      <c r="D80" s="104"/>
      <c r="E80" s="104"/>
    </row>
    <row r="81" spans="1:10" ht="15" thickBot="1" x14ac:dyDescent="0.35">
      <c r="A81" s="8"/>
      <c r="B81" s="8"/>
      <c r="C81" s="94"/>
      <c r="D81" s="104"/>
      <c r="E81" s="104"/>
    </row>
    <row r="82" spans="1:10" ht="22.5" customHeight="1" x14ac:dyDescent="0.3">
      <c r="F82" s="187" t="s">
        <v>639</v>
      </c>
      <c r="G82" s="188"/>
      <c r="H82" s="188"/>
      <c r="I82" s="204" t="s">
        <v>662</v>
      </c>
      <c r="J82" s="205"/>
    </row>
    <row r="83" spans="1:10" s="18" customFormat="1" ht="30" customHeight="1" x14ac:dyDescent="0.3">
      <c r="A83" s="11" t="s">
        <v>49</v>
      </c>
      <c r="B83" s="196" t="s">
        <v>108</v>
      </c>
      <c r="C83" s="197"/>
      <c r="D83" s="13" t="s">
        <v>349</v>
      </c>
      <c r="E83" s="91" t="s">
        <v>350</v>
      </c>
      <c r="F83" s="109" t="s">
        <v>49</v>
      </c>
      <c r="G83" s="207" t="s">
        <v>108</v>
      </c>
      <c r="H83" s="199"/>
      <c r="I83" s="154" t="s">
        <v>349</v>
      </c>
      <c r="J83" s="100" t="s">
        <v>350</v>
      </c>
    </row>
    <row r="84" spans="1:10" ht="26.55" customHeight="1" x14ac:dyDescent="0.3">
      <c r="A84" s="16" t="s">
        <v>51</v>
      </c>
      <c r="B84" s="189" t="s">
        <v>611</v>
      </c>
      <c r="C84" s="189"/>
      <c r="D84" s="6" t="s">
        <v>758</v>
      </c>
      <c r="E84" s="92" t="s">
        <v>757</v>
      </c>
      <c r="F84" s="110" t="s">
        <v>52</v>
      </c>
      <c r="G84" s="172" t="s">
        <v>774</v>
      </c>
      <c r="H84" s="172"/>
      <c r="I84" s="111"/>
      <c r="J84" s="112"/>
    </row>
    <row r="85" spans="1:10" ht="25.95" customHeight="1" x14ac:dyDescent="0.3">
      <c r="A85" s="16" t="s">
        <v>53</v>
      </c>
      <c r="B85" s="189" t="s">
        <v>611</v>
      </c>
      <c r="C85" s="189"/>
      <c r="D85" s="6" t="s">
        <v>759</v>
      </c>
      <c r="E85" s="92" t="s">
        <v>757</v>
      </c>
      <c r="F85" s="113" t="s">
        <v>54</v>
      </c>
      <c r="G85" s="208" t="str">
        <f>IF($G$84="","",$G$84)</f>
        <v>AIR3258</v>
      </c>
      <c r="H85" s="209"/>
      <c r="I85" s="111"/>
      <c r="J85" s="112"/>
    </row>
    <row r="86" spans="1:10" ht="29.55" customHeight="1" thickBot="1" x14ac:dyDescent="0.35">
      <c r="A86" s="16" t="s">
        <v>55</v>
      </c>
      <c r="B86" s="189" t="s">
        <v>611</v>
      </c>
      <c r="C86" s="189"/>
      <c r="D86" s="6" t="s">
        <v>760</v>
      </c>
      <c r="E86" s="92" t="s">
        <v>757</v>
      </c>
      <c r="F86" s="114" t="s">
        <v>56</v>
      </c>
      <c r="G86" s="208" t="str">
        <f>IF($G$84="","",$G$84)</f>
        <v>AIR3258</v>
      </c>
      <c r="H86" s="209"/>
      <c r="I86" s="115"/>
      <c r="J86" s="116"/>
    </row>
    <row r="88" spans="1:10" ht="27.75" customHeight="1" x14ac:dyDescent="0.3">
      <c r="A88" s="126" t="s">
        <v>613</v>
      </c>
      <c r="B88" s="125" t="s">
        <v>68</v>
      </c>
      <c r="D88" s="193" t="s">
        <v>660</v>
      </c>
      <c r="E88" s="125" t="s">
        <v>68</v>
      </c>
      <c r="F88" s="79"/>
      <c r="G88" s="195" t="s">
        <v>661</v>
      </c>
      <c r="H88" s="195"/>
      <c r="I88" s="195"/>
      <c r="J88" s="195"/>
    </row>
    <row r="89" spans="1:10" x14ac:dyDescent="0.3">
      <c r="A89" s="6"/>
      <c r="B89" s="97"/>
      <c r="D89" s="194"/>
      <c r="E89" s="151" t="str">
        <f>IF(COUNTIF($E$10,"*+ 3.5GHz*"),"2",IF(COUNTIF($E$10,"*105MHz*"),"1",IF(OR(COUNTIF($E$10,"*+10MHz*"),(COUNTIF($E$10,"*+30MHz*"))),"1","0")))</f>
        <v>2</v>
      </c>
      <c r="F89" s="108"/>
      <c r="G89" s="195"/>
      <c r="H89" s="195"/>
      <c r="I89" s="195"/>
      <c r="J89" s="195"/>
    </row>
    <row r="90" spans="1:10" x14ac:dyDescent="0.3">
      <c r="A90" s="160"/>
      <c r="B90" s="161"/>
      <c r="D90" s="162"/>
      <c r="E90" s="163"/>
      <c r="F90" s="108"/>
      <c r="G90" s="156"/>
      <c r="H90" s="156"/>
      <c r="I90" s="156"/>
      <c r="J90" s="156"/>
    </row>
    <row r="91" spans="1:10" x14ac:dyDescent="0.3">
      <c r="E91"/>
      <c r="F91" s="23"/>
    </row>
    <row r="92" spans="1:10" x14ac:dyDescent="0.3">
      <c r="A92" s="20" t="s">
        <v>57</v>
      </c>
    </row>
    <row r="93" spans="1:10" x14ac:dyDescent="0.3">
      <c r="A93" s="206"/>
      <c r="B93" s="206"/>
      <c r="C93" s="206"/>
      <c r="D93" s="206"/>
      <c r="E93" s="206"/>
      <c r="F93" s="206"/>
      <c r="G93" s="206"/>
      <c r="H93" s="206"/>
      <c r="I93" s="206"/>
      <c r="J93" s="206"/>
    </row>
    <row r="94" spans="1:10" x14ac:dyDescent="0.3">
      <c r="A94" s="245"/>
      <c r="B94" s="245"/>
      <c r="C94" s="245"/>
      <c r="D94" s="245"/>
      <c r="E94" s="245"/>
      <c r="F94" s="245"/>
      <c r="G94" s="245"/>
      <c r="H94" s="245"/>
      <c r="I94" s="245"/>
      <c r="J94" s="245"/>
    </row>
    <row r="95" spans="1:10" x14ac:dyDescent="0.3">
      <c r="A95" s="245"/>
      <c r="B95" s="245"/>
      <c r="C95" s="245"/>
      <c r="D95" s="245"/>
      <c r="E95" s="245"/>
      <c r="F95" s="245"/>
      <c r="G95" s="245"/>
      <c r="H95" s="245"/>
      <c r="I95" s="245"/>
      <c r="J95" s="245"/>
    </row>
    <row r="96" spans="1:10" x14ac:dyDescent="0.3">
      <c r="A96" s="74"/>
      <c r="B96" s="74"/>
      <c r="C96" s="74"/>
      <c r="D96" s="74"/>
      <c r="E96" s="74"/>
      <c r="F96" s="74"/>
      <c r="G96" s="74"/>
      <c r="H96" s="74"/>
      <c r="I96" s="74"/>
      <c r="J96" s="74"/>
    </row>
    <row r="98" spans="1:10" x14ac:dyDescent="0.3">
      <c r="A98" s="9" t="s">
        <v>112</v>
      </c>
      <c r="F98" s="173" t="s">
        <v>651</v>
      </c>
      <c r="G98" s="174"/>
      <c r="H98" s="25" t="s">
        <v>12</v>
      </c>
    </row>
    <row r="99" spans="1:10" x14ac:dyDescent="0.3">
      <c r="A99" s="22"/>
      <c r="B99" s="22"/>
      <c r="C99" s="22"/>
      <c r="E99" s="22"/>
      <c r="F99" s="173" t="s">
        <v>646</v>
      </c>
      <c r="G99" s="174"/>
      <c r="H99" s="25"/>
      <c r="I99" s="22"/>
      <c r="J99" s="22"/>
    </row>
    <row r="100" spans="1:10" x14ac:dyDescent="0.3">
      <c r="A100" s="79"/>
      <c r="B100" s="79"/>
      <c r="C100" s="79"/>
      <c r="E100" s="79"/>
      <c r="F100" s="173" t="s">
        <v>645</v>
      </c>
      <c r="G100" s="174"/>
      <c r="H100" s="25" t="s">
        <v>12</v>
      </c>
      <c r="I100" s="79"/>
      <c r="J100" s="79"/>
    </row>
    <row r="104" spans="1:10" x14ac:dyDescent="0.3">
      <c r="A104" s="8" t="s">
        <v>59</v>
      </c>
    </row>
    <row r="105" spans="1:10" ht="15" customHeight="1" x14ac:dyDescent="0.3">
      <c r="A105" s="190" t="s">
        <v>539</v>
      </c>
      <c r="B105" s="190"/>
      <c r="C105" s="190"/>
      <c r="D105" s="190"/>
      <c r="E105" s="190"/>
      <c r="F105" s="190"/>
      <c r="G105" s="190"/>
      <c r="H105" s="190"/>
      <c r="I105" s="190"/>
      <c r="J105" s="190"/>
    </row>
    <row r="106" spans="1:10" ht="14.55" customHeight="1" x14ac:dyDescent="0.3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</row>
    <row r="107" spans="1:10" x14ac:dyDescent="0.3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</row>
    <row r="108" spans="1:10" x14ac:dyDescent="0.3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</row>
    <row r="109" spans="1:10" x14ac:dyDescent="0.3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</row>
    <row r="110" spans="1:10" ht="15" customHeight="1" x14ac:dyDescent="0.3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</row>
    <row r="111" spans="1:10" x14ac:dyDescent="0.3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</row>
    <row r="112" spans="1:10" x14ac:dyDescent="0.3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</row>
    <row r="113" spans="1:10" x14ac:dyDescent="0.3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</row>
    <row r="114" spans="1:10" x14ac:dyDescent="0.3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</row>
    <row r="115" spans="1:10" x14ac:dyDescent="0.3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</row>
    <row r="116" spans="1:10" x14ac:dyDescent="0.3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</row>
    <row r="117" spans="1:10" x14ac:dyDescent="0.3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</row>
    <row r="118" spans="1:10" x14ac:dyDescent="0.3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</row>
    <row r="119" spans="1:10" x14ac:dyDescent="0.3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</row>
    <row r="120" spans="1:10" x14ac:dyDescent="0.3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</row>
    <row r="122" spans="1:10" x14ac:dyDescent="0.3">
      <c r="A122" s="9" t="s">
        <v>110</v>
      </c>
    </row>
    <row r="123" spans="1:10" ht="15" customHeight="1" x14ac:dyDescent="0.3">
      <c r="A123" s="192" t="s">
        <v>718</v>
      </c>
      <c r="B123" s="192"/>
      <c r="C123" s="192"/>
      <c r="D123" s="192"/>
      <c r="E123" s="192"/>
      <c r="F123" s="192"/>
      <c r="G123" s="192"/>
      <c r="H123" s="192"/>
      <c r="I123" s="192"/>
      <c r="J123" s="192"/>
    </row>
    <row r="124" spans="1:10" x14ac:dyDescent="0.3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</row>
    <row r="125" spans="1:10" x14ac:dyDescent="0.3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</row>
    <row r="126" spans="1:10" x14ac:dyDescent="0.3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</row>
    <row r="128" spans="1:10" ht="15" customHeight="1" x14ac:dyDescent="0.3">
      <c r="A128" s="9" t="s">
        <v>109</v>
      </c>
    </row>
    <row r="130" spans="1:10" x14ac:dyDescent="0.3">
      <c r="A130" s="20" t="s">
        <v>33</v>
      </c>
    </row>
    <row r="131" spans="1:10" x14ac:dyDescent="0.3">
      <c r="A131" s="21" t="s">
        <v>62</v>
      </c>
    </row>
    <row r="132" spans="1:10" x14ac:dyDescent="0.3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</row>
    <row r="133" spans="1:10" x14ac:dyDescent="0.3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</row>
    <row r="134" spans="1:10" x14ac:dyDescent="0.3">
      <c r="A134" s="173" t="s">
        <v>751</v>
      </c>
      <c r="B134" s="244"/>
      <c r="C134" s="244"/>
      <c r="D134" s="244"/>
      <c r="E134" s="6" t="s">
        <v>13</v>
      </c>
      <c r="F134" s="22"/>
      <c r="G134" s="225" t="s">
        <v>752</v>
      </c>
      <c r="H134" s="245"/>
      <c r="I134" s="141" t="s">
        <v>372</v>
      </c>
      <c r="J134" s="5"/>
    </row>
    <row r="135" spans="1:10" x14ac:dyDescent="0.3">
      <c r="A135" s="173" t="s">
        <v>747</v>
      </c>
      <c r="B135" s="244"/>
      <c r="C135" s="244"/>
      <c r="D135" s="244"/>
      <c r="E135" s="6" t="s">
        <v>13</v>
      </c>
      <c r="F135" s="22"/>
      <c r="G135" s="22"/>
      <c r="H135" s="22"/>
      <c r="I135" s="22"/>
      <c r="J135" s="22"/>
    </row>
    <row r="136" spans="1:10" x14ac:dyDescent="0.3">
      <c r="A136" s="173" t="s">
        <v>748</v>
      </c>
      <c r="B136" s="244"/>
      <c r="C136" s="244"/>
      <c r="D136" s="244"/>
      <c r="E136" s="6" t="s">
        <v>12</v>
      </c>
      <c r="F136" s="22"/>
      <c r="G136" s="22"/>
      <c r="H136" s="22"/>
      <c r="I136" s="22"/>
      <c r="J136" s="22"/>
    </row>
    <row r="137" spans="1:10" x14ac:dyDescent="0.3">
      <c r="A137" s="23"/>
    </row>
    <row r="138" spans="1:10" x14ac:dyDescent="0.3">
      <c r="A138" s="9" t="s">
        <v>547</v>
      </c>
      <c r="B138"/>
      <c r="C138"/>
      <c r="D138"/>
      <c r="E138"/>
    </row>
    <row r="139" spans="1:10" x14ac:dyDescent="0.3">
      <c r="A139" s="21" t="s">
        <v>5</v>
      </c>
    </row>
    <row r="140" spans="1:10" x14ac:dyDescent="0.3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</row>
    <row r="141" spans="1:10" x14ac:dyDescent="0.3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</row>
    <row r="142" spans="1:10" x14ac:dyDescent="0.3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</row>
    <row r="143" spans="1:10" x14ac:dyDescent="0.3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</row>
    <row r="144" spans="1:10" x14ac:dyDescent="0.3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</row>
    <row r="145" spans="1:10" x14ac:dyDescent="0.3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</row>
    <row r="146" spans="1:10" ht="13.2" customHeight="1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spans="1:10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spans="1:10" ht="15" customHeight="1" x14ac:dyDescent="0.3">
      <c r="A148" s="9" t="s">
        <v>111</v>
      </c>
    </row>
    <row r="149" spans="1:10" x14ac:dyDescent="0.3">
      <c r="A149" s="21" t="s">
        <v>6</v>
      </c>
    </row>
    <row r="150" spans="1:10" x14ac:dyDescent="0.3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</row>
    <row r="151" spans="1:10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3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</row>
    <row r="154" spans="1:10" x14ac:dyDescent="0.3">
      <c r="A154" s="9" t="s">
        <v>548</v>
      </c>
      <c r="B154" s="9"/>
      <c r="C154" s="9"/>
      <c r="D154" s="9"/>
      <c r="E154" s="9"/>
      <c r="F154" s="9"/>
      <c r="G154" s="9"/>
      <c r="H154" s="9"/>
    </row>
    <row r="155" spans="1:10" x14ac:dyDescent="0.3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</row>
    <row r="156" spans="1:10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3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</row>
    <row r="158" spans="1:10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spans="1:10" x14ac:dyDescent="0.3">
      <c r="A159" s="75" t="s">
        <v>549</v>
      </c>
      <c r="B159" s="75"/>
      <c r="C159" s="75"/>
      <c r="D159" s="22"/>
      <c r="E159" s="22"/>
      <c r="F159" s="22"/>
      <c r="G159" s="22"/>
      <c r="H159" s="22"/>
      <c r="I159" s="22"/>
      <c r="J159" s="22"/>
    </row>
    <row r="160" spans="1:10" x14ac:dyDescent="0.3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</row>
    <row r="161" spans="1:10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3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</row>
    <row r="163" spans="1:10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spans="1:10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spans="1:10" x14ac:dyDescent="0.3">
      <c r="A165" s="75" t="s">
        <v>550</v>
      </c>
      <c r="B165" s="75"/>
      <c r="C165" s="75"/>
      <c r="D165" s="75"/>
      <c r="E165" s="22"/>
      <c r="F165" s="22"/>
      <c r="G165" s="22"/>
      <c r="H165" s="22"/>
      <c r="I165" s="22"/>
      <c r="J165" s="22"/>
    </row>
    <row r="166" spans="1:10" x14ac:dyDescent="0.3">
      <c r="A166" s="76" t="s">
        <v>722</v>
      </c>
      <c r="B166" s="76"/>
      <c r="C166" s="76"/>
      <c r="D166" s="76"/>
      <c r="E166" s="76"/>
      <c r="F166" s="76"/>
      <c r="G166" s="76"/>
      <c r="H166" s="76"/>
      <c r="I166" s="76"/>
      <c r="J166" s="22"/>
    </row>
    <row r="167" spans="1:10" x14ac:dyDescent="0.3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</row>
    <row r="168" spans="1:10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3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</row>
    <row r="170" spans="1:10" x14ac:dyDescent="0.3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</row>
    <row r="171" spans="1:10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3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</row>
    <row r="174" spans="1:10" x14ac:dyDescent="0.3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</row>
    <row r="175" spans="1:10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3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</row>
    <row r="177" spans="1:10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spans="1:10" x14ac:dyDescent="0.3">
      <c r="A178" s="247" t="s">
        <v>810</v>
      </c>
      <c r="B178" s="247"/>
      <c r="C178" s="247"/>
      <c r="D178" s="247"/>
      <c r="E178" s="247"/>
      <c r="F178" s="247"/>
      <c r="G178" s="247"/>
      <c r="H178" s="247"/>
      <c r="I178" s="247"/>
      <c r="J178" s="247"/>
    </row>
    <row r="179" spans="1:10" x14ac:dyDescent="0.3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</row>
    <row r="180" spans="1:10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3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</row>
    <row r="182" spans="1:10" x14ac:dyDescent="0.3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</row>
    <row r="183" spans="1:10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3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</row>
    <row r="185" spans="1:10" x14ac:dyDescent="0.3">
      <c r="A185" s="247" t="s">
        <v>721</v>
      </c>
      <c r="B185" s="247"/>
      <c r="C185" s="247"/>
      <c r="D185" s="247"/>
      <c r="E185" s="247"/>
      <c r="F185" s="247"/>
      <c r="G185" s="247"/>
      <c r="H185" s="247"/>
      <c r="I185" s="247"/>
      <c r="J185" s="247"/>
    </row>
    <row r="186" spans="1:10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3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</row>
    <row r="188" spans="1:10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spans="1:10" x14ac:dyDescent="0.3">
      <c r="A189" s="9" t="s">
        <v>551</v>
      </c>
    </row>
    <row r="190" spans="1:10" x14ac:dyDescent="0.3">
      <c r="A190" s="21" t="s">
        <v>66</v>
      </c>
    </row>
    <row r="191" spans="1:10" x14ac:dyDescent="0.3">
      <c r="A191" s="9" t="s">
        <v>552</v>
      </c>
    </row>
    <row r="192" spans="1:10" x14ac:dyDescent="0.3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</row>
    <row r="193" spans="1:10" x14ac:dyDescent="0.3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</row>
    <row r="194" spans="1:10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spans="1:10" x14ac:dyDescent="0.3">
      <c r="A195" s="9" t="s">
        <v>553</v>
      </c>
    </row>
    <row r="196" spans="1:10" x14ac:dyDescent="0.3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</row>
    <row r="197" spans="1:10" x14ac:dyDescent="0.3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</row>
    <row r="198" spans="1:10" x14ac:dyDescent="0.3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</row>
    <row r="199" spans="1:10" x14ac:dyDescent="0.3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</row>
    <row r="200" spans="1:10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spans="1:10" x14ac:dyDescent="0.3">
      <c r="A201" s="9" t="s">
        <v>554</v>
      </c>
    </row>
    <row r="202" spans="1:10" x14ac:dyDescent="0.3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</row>
    <row r="203" spans="1:10" x14ac:dyDescent="0.3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</row>
    <row r="204" spans="1:10" x14ac:dyDescent="0.3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</row>
    <row r="205" spans="1:10" x14ac:dyDescent="0.3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</row>
    <row r="208" spans="1:10" x14ac:dyDescent="0.3">
      <c r="A208" s="9" t="s">
        <v>555</v>
      </c>
    </row>
    <row r="210" spans="1:10" x14ac:dyDescent="0.3">
      <c r="A210" s="2" t="s">
        <v>7</v>
      </c>
    </row>
    <row r="211" spans="1:10" x14ac:dyDescent="0.3">
      <c r="A211" s="2" t="s">
        <v>8</v>
      </c>
    </row>
    <row r="212" spans="1:10" x14ac:dyDescent="0.3">
      <c r="A212" s="2" t="s">
        <v>31</v>
      </c>
    </row>
    <row r="214" spans="1:10" ht="15" customHeight="1" x14ac:dyDescent="0.3">
      <c r="A214" s="246" t="s">
        <v>61</v>
      </c>
      <c r="B214" s="246"/>
      <c r="C214" s="246"/>
      <c r="D214" s="246"/>
      <c r="E214" s="246"/>
      <c r="F214" s="246"/>
      <c r="G214" s="246"/>
      <c r="H214" s="246"/>
      <c r="I214" s="246"/>
      <c r="J214" s="246"/>
    </row>
    <row r="215" spans="1:10" x14ac:dyDescent="0.3">
      <c r="A215" s="2" t="s">
        <v>11</v>
      </c>
    </row>
    <row r="216" spans="1:10" x14ac:dyDescent="0.3">
      <c r="A216" s="2" t="s">
        <v>9</v>
      </c>
    </row>
  </sheetData>
  <sheetProtection algorithmName="SHA-512" hashValue="lCkndKoqQUHKasIx2wGP1oJ+fRaRUZ/lPIzgFfN5V/6aYIucLa6YV07vp2uvJeECr+d1pF1Jd2csRYYZ466Myg==" saltValue="ui5Ps0E3v18tXO1vkQz66g==" spinCount="100000" sheet="1" formatColumns="0" formatRows="0" sort="0" autoFilter="0"/>
  <mergeCells count="149">
    <mergeCell ref="A185:J185"/>
    <mergeCell ref="A187:J187"/>
    <mergeCell ref="E18:G18"/>
    <mergeCell ref="E19:G19"/>
    <mergeCell ref="E20:G20"/>
    <mergeCell ref="A23:J23"/>
    <mergeCell ref="B44:C44"/>
    <mergeCell ref="G44:H44"/>
    <mergeCell ref="B45:C45"/>
    <mergeCell ref="A173:J173"/>
    <mergeCell ref="A184:J184"/>
    <mergeCell ref="A174:J174"/>
    <mergeCell ref="A176:J176"/>
    <mergeCell ref="A179:J179"/>
    <mergeCell ref="A181:J181"/>
    <mergeCell ref="A182:J182"/>
    <mergeCell ref="A94:J94"/>
    <mergeCell ref="A95:J95"/>
    <mergeCell ref="A111:J111"/>
    <mergeCell ref="A170:J170"/>
    <mergeCell ref="A108:J108"/>
    <mergeCell ref="A178:J178"/>
    <mergeCell ref="A167:J167"/>
    <mergeCell ref="A169:J169"/>
    <mergeCell ref="A205:J205"/>
    <mergeCell ref="A214:J214"/>
    <mergeCell ref="A192:J192"/>
    <mergeCell ref="A193:J193"/>
    <mergeCell ref="A196:J196"/>
    <mergeCell ref="A197:J197"/>
    <mergeCell ref="A198:J198"/>
    <mergeCell ref="A199:J199"/>
    <mergeCell ref="A202:J202"/>
    <mergeCell ref="A203:J203"/>
    <mergeCell ref="A204:J204"/>
    <mergeCell ref="A150:J150"/>
    <mergeCell ref="A141:J141"/>
    <mergeCell ref="A140:J140"/>
    <mergeCell ref="A144:J144"/>
    <mergeCell ref="A145:J145"/>
    <mergeCell ref="A114:J114"/>
    <mergeCell ref="A126:J126"/>
    <mergeCell ref="A132:J132"/>
    <mergeCell ref="A133:J133"/>
    <mergeCell ref="A115:J115"/>
    <mergeCell ref="A116:J116"/>
    <mergeCell ref="A117:J117"/>
    <mergeCell ref="A118:J118"/>
    <mergeCell ref="A124:J124"/>
    <mergeCell ref="A136:D136"/>
    <mergeCell ref="A135:D135"/>
    <mergeCell ref="A134:D134"/>
    <mergeCell ref="G134:H134"/>
    <mergeCell ref="A17:D17"/>
    <mergeCell ref="A6:B6"/>
    <mergeCell ref="A20:D20"/>
    <mergeCell ref="A155:J155"/>
    <mergeCell ref="A157:J157"/>
    <mergeCell ref="A160:J160"/>
    <mergeCell ref="A142:J142"/>
    <mergeCell ref="A143:J143"/>
    <mergeCell ref="A152:J152"/>
    <mergeCell ref="A19:D19"/>
    <mergeCell ref="C12:I12"/>
    <mergeCell ref="A16:D16"/>
    <mergeCell ref="H16:I16"/>
    <mergeCell ref="H17:I17"/>
    <mergeCell ref="H18:I18"/>
    <mergeCell ref="H19:I19"/>
    <mergeCell ref="H20:I20"/>
    <mergeCell ref="A18:D18"/>
    <mergeCell ref="E16:G16"/>
    <mergeCell ref="E17:G17"/>
    <mergeCell ref="H75:I75"/>
    <mergeCell ref="H76:I76"/>
    <mergeCell ref="H77:I77"/>
    <mergeCell ref="J77:J78"/>
    <mergeCell ref="D59:J59"/>
    <mergeCell ref="F100:G100"/>
    <mergeCell ref="J39:J40"/>
    <mergeCell ref="H72:J72"/>
    <mergeCell ref="H73:I73"/>
    <mergeCell ref="B51:C51"/>
    <mergeCell ref="A3:B3"/>
    <mergeCell ref="A4:B4"/>
    <mergeCell ref="C10:D10"/>
    <mergeCell ref="C11:D11"/>
    <mergeCell ref="E10:I10"/>
    <mergeCell ref="H11:I11"/>
    <mergeCell ref="C3:D3"/>
    <mergeCell ref="H3:I3"/>
    <mergeCell ref="C4:D4"/>
    <mergeCell ref="C5:D5"/>
    <mergeCell ref="C6:D6"/>
    <mergeCell ref="A5:B5"/>
    <mergeCell ref="H4:I4"/>
    <mergeCell ref="H5:I5"/>
    <mergeCell ref="H6:I6"/>
    <mergeCell ref="C7:D7"/>
    <mergeCell ref="H8:I8"/>
    <mergeCell ref="C8:D8"/>
    <mergeCell ref="A120:J120"/>
    <mergeCell ref="A123:J123"/>
    <mergeCell ref="D55:D56"/>
    <mergeCell ref="G55:J56"/>
    <mergeCell ref="A49:C49"/>
    <mergeCell ref="B50:C50"/>
    <mergeCell ref="A113:J113"/>
    <mergeCell ref="H34:J34"/>
    <mergeCell ref="H35:I35"/>
    <mergeCell ref="H36:I36"/>
    <mergeCell ref="H41:I41"/>
    <mergeCell ref="H37:I37"/>
    <mergeCell ref="H38:I38"/>
    <mergeCell ref="H39:I39"/>
    <mergeCell ref="I82:J82"/>
    <mergeCell ref="A93:J93"/>
    <mergeCell ref="D88:D89"/>
    <mergeCell ref="G88:J89"/>
    <mergeCell ref="B83:C83"/>
    <mergeCell ref="G83:H83"/>
    <mergeCell ref="G86:H86"/>
    <mergeCell ref="B85:C85"/>
    <mergeCell ref="G85:H85"/>
    <mergeCell ref="G46:H46"/>
    <mergeCell ref="B52:C52"/>
    <mergeCell ref="B53:C53"/>
    <mergeCell ref="F99:G99"/>
    <mergeCell ref="F98:G98"/>
    <mergeCell ref="I62:I69"/>
    <mergeCell ref="H74:J74"/>
    <mergeCell ref="I25:I32"/>
    <mergeCell ref="A162:J162"/>
    <mergeCell ref="B46:C46"/>
    <mergeCell ref="G45:H45"/>
    <mergeCell ref="B47:C47"/>
    <mergeCell ref="G47:H47"/>
    <mergeCell ref="A60:J60"/>
    <mergeCell ref="F82:H82"/>
    <mergeCell ref="A109:J109"/>
    <mergeCell ref="A110:J110"/>
    <mergeCell ref="A112:J112"/>
    <mergeCell ref="B84:C84"/>
    <mergeCell ref="G84:H84"/>
    <mergeCell ref="A105:J105"/>
    <mergeCell ref="A106:J106"/>
    <mergeCell ref="A107:J107"/>
    <mergeCell ref="B86:C86"/>
    <mergeCell ref="A119:J119"/>
  </mergeCells>
  <phoneticPr fontId="13" type="noConversion"/>
  <dataValidations count="1">
    <dataValidation type="whole" allowBlank="1" showInputMessage="1" showErrorMessage="1" sqref="B89:B90 B56" xr:uid="{EC3F4D2D-683B-4DF7-8034-F493852C1C41}">
      <formula1>1</formula1>
      <formula2>10</formula2>
    </dataValidation>
  </dataValidations>
  <pageMargins left="0.25" right="0.25" top="0.75" bottom="0.75" header="0.3" footer="0.3"/>
  <pageSetup paperSize="9" orientation="portrait" r:id="rId1"/>
  <headerFooter>
    <oddHeader>&amp;L&amp;G&amp;C&amp;"-,Bold"Technical Site Survey Report 
Bestaande site
Ericsson - VodafoneZiggo&amp;R&amp;G</oddHeader>
    <oddFooter>&amp;L&amp;D&amp;C&amp;F&amp;RPagina &amp;P - &amp;N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5" name="Option Button 6">
              <controlPr defaultSize="0" autoFill="0" autoLine="0" autoPict="0">
                <anchor moveWithCells="1">
                  <from>
                    <xdr:col>0</xdr:col>
                    <xdr:colOff>0</xdr:colOff>
                    <xdr:row>98</xdr:row>
                    <xdr:rowOff>0</xdr:rowOff>
                  </from>
                  <to>
                    <xdr:col>1</xdr:col>
                    <xdr:colOff>624840</xdr:colOff>
                    <xdr:row>99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Option Button 7">
              <controlPr defaultSize="0" autoFill="0" autoLine="0" autoPict="0">
                <anchor moveWithCells="1">
                  <from>
                    <xdr:col>0</xdr:col>
                    <xdr:colOff>0</xdr:colOff>
                    <xdr:row>98</xdr:row>
                    <xdr:rowOff>182880</xdr:rowOff>
                  </from>
                  <to>
                    <xdr:col>1</xdr:col>
                    <xdr:colOff>624840</xdr:colOff>
                    <xdr:row>100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Option Button 8">
              <controlPr defaultSize="0" autoFill="0" autoLine="0" autoPict="0">
                <anchor moveWithCells="1">
                  <from>
                    <xdr:col>0</xdr:col>
                    <xdr:colOff>0</xdr:colOff>
                    <xdr:row>99</xdr:row>
                    <xdr:rowOff>182880</xdr:rowOff>
                  </from>
                  <to>
                    <xdr:col>1</xdr:col>
                    <xdr:colOff>624840</xdr:colOff>
                    <xdr:row>101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Option Button 9">
              <controlPr defaultSize="0" autoFill="0" autoLine="0" autoPict="0">
                <anchor moveWithCells="1">
                  <from>
                    <xdr:col>0</xdr:col>
                    <xdr:colOff>0</xdr:colOff>
                    <xdr:row>100</xdr:row>
                    <xdr:rowOff>182880</xdr:rowOff>
                  </from>
                  <to>
                    <xdr:col>1</xdr:col>
                    <xdr:colOff>624840</xdr:colOff>
                    <xdr:row>102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Option Button 10">
              <controlPr defaultSize="0" autoFill="0" autoLine="0" autoPict="0">
                <anchor moveWithCells="1">
                  <from>
                    <xdr:col>3</xdr:col>
                    <xdr:colOff>0</xdr:colOff>
                    <xdr:row>97</xdr:row>
                    <xdr:rowOff>182880</xdr:rowOff>
                  </from>
                  <to>
                    <xdr:col>4</xdr:col>
                    <xdr:colOff>678180</xdr:colOff>
                    <xdr:row>99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Option Button 11">
              <controlPr defaultSize="0" autoFill="0" autoLine="0" autoPict="0">
                <anchor moveWithCells="1">
                  <from>
                    <xdr:col>3</xdr:col>
                    <xdr:colOff>0</xdr:colOff>
                    <xdr:row>98</xdr:row>
                    <xdr:rowOff>182880</xdr:rowOff>
                  </from>
                  <to>
                    <xdr:col>4</xdr:col>
                    <xdr:colOff>678180</xdr:colOff>
                    <xdr:row>100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Option Button 12">
              <controlPr defaultSize="0" autoFill="0" autoLine="0" autoPict="0">
                <anchor moveWithCells="1">
                  <from>
                    <xdr:col>3</xdr:col>
                    <xdr:colOff>0</xdr:colOff>
                    <xdr:row>100</xdr:row>
                    <xdr:rowOff>0</xdr:rowOff>
                  </from>
                  <to>
                    <xdr:col>4</xdr:col>
                    <xdr:colOff>678180</xdr:colOff>
                    <xdr:row>101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1" showErrorMessage="1" xr:uid="{B95A918A-430A-4BA4-A366-4EC3A5EB953D}">
          <x14:formula1>
            <xm:f>values!$V$3:$V$6</xm:f>
          </x14:formula1>
          <xm:sqref>G36:G37 G40:G41</xm:sqref>
        </x14:dataValidation>
        <x14:dataValidation type="list" allowBlank="1" showInputMessage="1" showErrorMessage="1" xr:uid="{11C84866-4450-4786-9B7F-AAA1C5D5E8AC}">
          <x14:formula1>
            <xm:f>values!$N$3:$N$6</xm:f>
          </x14:formula1>
          <xm:sqref>E80:E81 D73:D79 E36:E41</xm:sqref>
        </x14:dataValidation>
        <x14:dataValidation type="list" allowBlank="1" showInputMessage="1" showErrorMessage="1" xr:uid="{034961E2-98D5-49FE-8675-577A8D6A6591}">
          <x14:formula1>
            <xm:f>values!$L$3:$L$13</xm:f>
          </x14:formula1>
          <xm:sqref>D80:D81 D36:D41</xm:sqref>
        </x14:dataValidation>
        <x14:dataValidation type="list" allowBlank="1" showInputMessage="1" showErrorMessage="1" xr:uid="{1544BC8D-E791-434B-815F-74D4241B30EF}">
          <x14:formula1>
            <xm:f>values!$A$5:$A$11</xm:f>
          </x14:formula1>
          <xm:sqref>D62:D70</xm:sqref>
        </x14:dataValidation>
        <x14:dataValidation type="list" allowBlank="1" showInputMessage="1" showErrorMessage="1" xr:uid="{C8292E58-FC1E-4B31-BC01-9F4E38E6BBB1}">
          <x14:formula1>
            <xm:f>values!$Z$4:$Z$6</xm:f>
          </x14:formula1>
          <xm:sqref>A89:A90 A56</xm:sqref>
        </x14:dataValidation>
        <x14:dataValidation type="list" allowBlank="1" showInputMessage="1" showErrorMessage="1" xr:uid="{8C6A9D5D-F92F-4794-ACEE-19BCA29E6B87}">
          <x14:formula1>
            <xm:f>values!$AQ$10:$AQ$11</xm:f>
          </x14:formula1>
          <xm:sqref>H100 H98</xm:sqref>
        </x14:dataValidation>
        <x14:dataValidation type="list" allowBlank="1" showInputMessage="1" showErrorMessage="1" xr:uid="{759F6D85-9CB4-41A9-9043-7086C292643B}">
          <x14:formula1>
            <xm:f>values!$BH$2:$BH$6</xm:f>
          </x14:formula1>
          <xm:sqref>C7:D7</xm:sqref>
        </x14:dataValidation>
        <x14:dataValidation type="list" allowBlank="1" showInputMessage="1" showErrorMessage="1" xr:uid="{6C7E89CD-2372-4637-889C-CA5E53B4DC5B}">
          <x14:formula1>
            <xm:f>values!$AQ$13:$AQ$17</xm:f>
          </x14:formula1>
          <xm:sqref>H99</xm:sqref>
        </x14:dataValidation>
        <x14:dataValidation type="list" allowBlank="1" showInputMessage="1" showErrorMessage="1" xr:uid="{04575DC4-569C-40A6-A04C-F13D181346AF}">
          <x14:formula1>
            <xm:f>values!$N$4:$N$6</xm:f>
          </x14:formula1>
          <xm:sqref>E134:E136</xm:sqref>
        </x14:dataValidation>
        <x14:dataValidation type="list" allowBlank="1" showInputMessage="1" showErrorMessage="1" xr:uid="{35EB9B62-4DAB-4620-8AAE-381E5BF6AA60}">
          <x14:formula1>
            <xm:f>values!$AI$8:$AI$9</xm:f>
          </x14:formula1>
          <xm:sqref>G84:H84</xm:sqref>
        </x14:dataValidation>
        <x14:dataValidation type="list" allowBlank="1" showInputMessage="1" showErrorMessage="1" xr:uid="{63B71FC1-04A3-4172-A605-D77AE4B7A1D7}">
          <x14:formula1>
            <xm:f>values!$A$16:$A$35</xm:f>
          </x14:formula1>
          <xm:sqref>D26:D31</xm:sqref>
        </x14:dataValidation>
        <x14:dataValidation type="list" allowBlank="1" showInputMessage="1" showErrorMessage="1" xr:uid="{D49E92E3-9903-4C8D-BC0F-A776DF25634B}">
          <x14:formula1>
            <xm:f>values!$D$5:$D$9</xm:f>
          </x14:formula1>
          <xm:sqref>E62:E63</xm:sqref>
        </x14:dataValidation>
        <x14:dataValidation type="list" allowBlank="1" showInputMessage="1" showErrorMessage="1" xr:uid="{8B8B17DD-F720-4A8F-961D-1D9A3F798575}">
          <x14:formula1>
            <xm:f>values!$D$6:$D$9</xm:f>
          </x14:formula1>
          <xm:sqref>E65:E70</xm:sqref>
        </x14:dataValidation>
        <x14:dataValidation type="list" allowBlank="1" showInputMessage="1" showErrorMessage="1" xr:uid="{8A21DE54-F087-4CA6-9564-8706754FD824}">
          <x14:formula1>
            <xm:f>values!$C$18:$C$33</xm:f>
          </x14:formula1>
          <xm:sqref>E26:E32</xm:sqref>
        </x14:dataValidation>
        <x14:dataValidation type="list" allowBlank="1" showInputMessage="1" showErrorMessage="1" xr:uid="{81F79A8D-BC7C-4B74-9807-BF187D072A03}">
          <x14:formula1>
            <xm:f>values!$AU$4:$AU$5</xm:f>
          </x14:formula1>
          <xm:sqref>C8</xm:sqref>
        </x14:dataValidation>
        <x14:dataValidation type="list" allowBlank="1" showInputMessage="1" showErrorMessage="1" xr:uid="{3CDD83A2-A500-4982-8390-DB55AA4E1C50}">
          <x14:formula1>
            <xm:f>values!$AD$4:$AD$13</xm:f>
          </x14:formula1>
          <xm:sqref>H3:I3</xm:sqref>
        </x14:dataValidation>
        <x14:dataValidation type="list" allowBlank="1" showInputMessage="1" showErrorMessage="1" xr:uid="{AF4BD785-8E92-4FA2-92D1-ADEE614BFE9B}">
          <x14:formula1>
            <xm:f>values!$P$4:$P$9</xm:f>
          </x14:formula1>
          <xm:sqref>J35:J36</xm:sqref>
        </x14:dataValidation>
        <x14:dataValidation type="list" allowBlank="1" showInputMessage="1" showErrorMessage="1" xr:uid="{96EA038F-9479-412C-800C-880965FE58DE}">
          <x14:formula1>
            <xm:f>values!$J$4:$J$5</xm:f>
          </x14:formula1>
          <xm:sqref>D32 F32:H32</xm:sqref>
        </x14:dataValidation>
        <x14:dataValidation type="list" allowBlank="1" showInputMessage="1" showErrorMessage="1" xr:uid="{5BF57761-B0BA-4496-9CED-002F97553A2E}">
          <x14:formula1>
            <xm:f>values!$T$3:$T$8</xm:f>
          </x14:formula1>
          <xm:sqref>E77:E78 F36:F41</xm:sqref>
        </x14:dataValidation>
        <x14:dataValidation type="list" allowBlank="1" showInputMessage="1" showErrorMessage="1" xr:uid="{7DF6F712-1C12-45FB-B07A-2BCAD59F5CD6}">
          <x14:formula1>
            <xm:f>values!$T$4</xm:f>
          </x14:formula1>
          <xm:sqref>E76</xm:sqref>
        </x14:dataValidation>
        <x14:dataValidation type="list" allowBlank="1" showInputMessage="1" showErrorMessage="1" xr:uid="{7F4734C5-25CA-4992-9E57-73ADB632B0B7}">
          <x14:formula1>
            <xm:f>values!$BA$3:$BA$17</xm:f>
          </x14:formula1>
          <xm:sqref>H19:I19</xm:sqref>
        </x14:dataValidation>
        <x14:dataValidation type="list" allowBlank="1" showInputMessage="1" showErrorMessage="1" xr:uid="{1EB404B9-462C-4705-AF81-D0780621E4EC}">
          <x14:formula1>
            <xm:f>values!$P$7</xm:f>
          </x14:formula1>
          <xm:sqref>J73</xm:sqref>
        </x14:dataValidation>
        <x14:dataValidation type="list" allowBlank="1" showInputMessage="1" showErrorMessage="1" xr:uid="{4CAC1FCF-8E87-455B-8673-FA709A809848}">
          <x14:formula1>
            <xm:f>values!$BB$1:$BB$50</xm:f>
          </x14:formula1>
          <xm:sqref>A16:D18</xm:sqref>
        </x14:dataValidation>
        <x14:dataValidation type="list" allowBlank="1" showInputMessage="1" showErrorMessage="1" xr:uid="{FCEB0577-0ED3-470F-82EC-91259A584AF0}">
          <x14:formula1>
            <xm:f>values!$AI$4:$AI$27</xm:f>
          </x14:formula1>
          <xm:sqref>B84:C86</xm:sqref>
        </x14:dataValidation>
        <x14:dataValidation type="list" allowBlank="1" showInputMessage="1" showErrorMessage="1" xr:uid="{D84DFD0E-F32C-45EE-A6D2-BEF0F456EBFB}">
          <x14:formula1>
            <xm:f>values!$AW$3:$AW$51</xm:f>
          </x14:formula1>
          <xm:sqref>E10:I10</xm:sqref>
        </x14:dataValidation>
        <x14:dataValidation type="list" allowBlank="1" showInputMessage="1" showErrorMessage="1" xr:uid="{B5CC3072-7463-449A-B06D-0878DC0DA42A}">
          <x14:formula1>
            <xm:f>values!$F$4:$F$7</xm:f>
          </x14:formula1>
          <xm:sqref>I25:I32</xm:sqref>
        </x14:dataValidation>
        <x14:dataValidation type="list" allowBlank="1" showInputMessage="1" showErrorMessage="1" xr:uid="{2C40496F-7E9C-4FC4-AF72-FE1A75DD5003}">
          <x14:formula1>
            <xm:f>values!$F$5:$F$7</xm:f>
          </x14:formula1>
          <xm:sqref>I62:I70</xm:sqref>
        </x14:dataValidation>
        <x14:dataValidation type="list" allowBlank="1" showInputMessage="1" showErrorMessage="1" xr:uid="{85AC9651-704F-4945-9E95-56FB318B2E46}">
          <x14:formula1>
            <xm:f>values!$R$4:$R$7</xm:f>
          </x14:formula1>
          <xm:sqref>E56</xm:sqref>
        </x14:dataValidation>
        <x14:dataValidation type="list" allowBlank="1" showInputMessage="1" showErrorMessage="1" xr:uid="{15250D78-1A74-4F80-835E-BC8AD8C50F75}">
          <x14:formula1>
            <xm:f>values!$J$4:$J$7</xm:f>
          </x14:formula1>
          <xm:sqref>B51:C53</xm:sqref>
        </x14:dataValidation>
        <x14:dataValidation type="list" allowBlank="1" showInputMessage="1" showErrorMessage="1" xr:uid="{48DCC456-5F2E-4EE1-A4B6-83C7805A9E66}">
          <x14:formula1>
            <xm:f>values!$AH$2:$AH$257</xm:f>
          </x14:formula1>
          <xm:sqref>G45:H47 B45:C47</xm:sqref>
        </x14:dataValidation>
        <x14:dataValidation type="list" allowBlank="1" showInputMessage="1" showErrorMessage="1" xr:uid="{10C7C2C0-E648-4ABC-8F13-69B167DA213E}">
          <x14:formula1>
            <xm:f>values!$J$4:$J$17</xm:f>
          </x14:formula1>
          <xm:sqref>F62:F63 G66 F68 F65:F66</xm:sqref>
        </x14:dataValidation>
        <x14:dataValidation type="list" allowBlank="1" showInputMessage="1" showErrorMessage="1" xr:uid="{9CC21158-760E-49A3-AAD2-1D0C83D97280}">
          <x14:formula1>
            <xm:f>values!$I$3:$I$27</xm:f>
          </x14:formula1>
          <xm:sqref>F26:H31</xm:sqref>
        </x14:dataValidation>
        <x14:dataValidation type="list" allowBlank="1" showInputMessage="1" showErrorMessage="1" xr:uid="{E5329F76-A042-4C3B-82B2-65970DD162FF}">
          <x14:formula1>
            <xm:f>values!$I$4:$I$19</xm:f>
          </x14:formula1>
          <xm:sqref>H62:H69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78FA-67C0-42EB-8683-CF2259B1CDF6}">
  <sheetPr codeName="Sheet3"/>
  <dimension ref="A1:J412"/>
  <sheetViews>
    <sheetView showGridLines="0" view="pageLayout" topLeftCell="A188" zoomScale="90" zoomScaleNormal="100" zoomScalePageLayoutView="90" workbookViewId="0">
      <selection activeCell="E132" sqref="E132"/>
    </sheetView>
  </sheetViews>
  <sheetFormatPr defaultColWidth="9.21875" defaultRowHeight="14.4" x14ac:dyDescent="0.3"/>
  <cols>
    <col min="1" max="1" width="10.77734375" style="2" customWidth="1"/>
    <col min="2" max="2" width="10" style="2" customWidth="1"/>
    <col min="3" max="3" width="9.77734375" style="2" customWidth="1"/>
    <col min="4" max="4" width="9.5546875" style="2" bestFit="1" customWidth="1"/>
    <col min="5" max="5" width="10.5546875" style="2" customWidth="1"/>
    <col min="6" max="8" width="10" style="2" customWidth="1"/>
    <col min="9" max="9" width="8.44140625" style="2" customWidth="1"/>
    <col min="10" max="16384" width="9.21875" style="2"/>
  </cols>
  <sheetData>
    <row r="1" spans="1:10" x14ac:dyDescent="0.3">
      <c r="A1" s="8" t="s">
        <v>3</v>
      </c>
    </row>
    <row r="3" spans="1:10" x14ac:dyDescent="0.3">
      <c r="A3" s="215" t="s">
        <v>72</v>
      </c>
      <c r="B3" s="216"/>
      <c r="C3" s="225"/>
      <c r="D3" s="226"/>
      <c r="E3" s="79"/>
      <c r="F3" s="9" t="s">
        <v>70</v>
      </c>
      <c r="G3" s="9"/>
      <c r="H3" s="225" t="s">
        <v>107</v>
      </c>
      <c r="I3" s="226"/>
      <c r="J3" s="105"/>
    </row>
    <row r="4" spans="1:10" x14ac:dyDescent="0.3">
      <c r="A4" s="215" t="s">
        <v>73</v>
      </c>
      <c r="B4" s="216"/>
      <c r="C4" s="225"/>
      <c r="D4" s="226"/>
      <c r="E4" s="79"/>
      <c r="F4" s="9" t="s">
        <v>69</v>
      </c>
      <c r="G4" s="9"/>
      <c r="H4" s="228"/>
      <c r="I4" s="229"/>
      <c r="J4" s="23"/>
    </row>
    <row r="5" spans="1:10" x14ac:dyDescent="0.3">
      <c r="A5" s="215" t="s">
        <v>74</v>
      </c>
      <c r="B5" s="216"/>
      <c r="C5" s="225"/>
      <c r="D5" s="226"/>
      <c r="E5" s="79"/>
      <c r="F5" s="106" t="s">
        <v>464</v>
      </c>
      <c r="H5" s="230"/>
      <c r="I5" s="231"/>
    </row>
    <row r="6" spans="1:10" x14ac:dyDescent="0.3">
      <c r="A6" s="215" t="s">
        <v>75</v>
      </c>
      <c r="B6" s="216"/>
      <c r="C6" s="225"/>
      <c r="D6" s="226"/>
      <c r="E6" s="79"/>
      <c r="F6" s="106" t="s">
        <v>463</v>
      </c>
      <c r="G6" s="106"/>
      <c r="H6" s="232"/>
      <c r="I6" s="233"/>
    </row>
    <row r="7" spans="1:10" x14ac:dyDescent="0.3">
      <c r="A7" s="93" t="s">
        <v>798</v>
      </c>
      <c r="B7" s="94"/>
      <c r="C7" s="225" t="s">
        <v>802</v>
      </c>
      <c r="D7" s="226"/>
      <c r="E7" s="79"/>
      <c r="F7" s="93" t="s">
        <v>799</v>
      </c>
      <c r="G7" s="94"/>
      <c r="H7" s="225" t="s">
        <v>801</v>
      </c>
      <c r="I7" s="226"/>
    </row>
    <row r="8" spans="1:10" x14ac:dyDescent="0.3">
      <c r="A8" s="93"/>
      <c r="B8" s="94"/>
      <c r="C8" s="79"/>
      <c r="D8" s="79"/>
      <c r="E8" s="79"/>
      <c r="G8" s="106"/>
      <c r="H8" s="107"/>
      <c r="I8" s="79"/>
    </row>
    <row r="9" spans="1:10" ht="28.95" customHeight="1" x14ac:dyDescent="0.3">
      <c r="A9" s="93"/>
      <c r="B9" s="94"/>
      <c r="C9" s="217" t="s">
        <v>612</v>
      </c>
      <c r="D9" s="218"/>
      <c r="E9" s="220" t="s">
        <v>822</v>
      </c>
      <c r="F9" s="221"/>
      <c r="G9" s="221"/>
      <c r="H9" s="221"/>
      <c r="I9" s="222"/>
    </row>
    <row r="10" spans="1:10" x14ac:dyDescent="0.3">
      <c r="A10" s="93"/>
      <c r="B10" s="94"/>
      <c r="C10" s="300" t="s">
        <v>562</v>
      </c>
      <c r="D10" s="219"/>
      <c r="E10" s="223" t="str">
        <f>IFERROR(VLOOKUP(E9,values!$AW:$AX,2,0),"")</f>
        <v xml:space="preserve">37.1b </v>
      </c>
      <c r="F10" s="301"/>
      <c r="G10" s="302"/>
      <c r="H10" s="223"/>
      <c r="I10" s="224"/>
    </row>
    <row r="11" spans="1:10" ht="16.95" customHeight="1" x14ac:dyDescent="0.3">
      <c r="A11" s="93"/>
      <c r="B11" s="94"/>
      <c r="C11" s="236"/>
      <c r="D11" s="237"/>
      <c r="E11" s="237"/>
      <c r="F11" s="237"/>
      <c r="G11" s="237"/>
      <c r="H11" s="237"/>
      <c r="I11" s="238"/>
      <c r="J11" s="118"/>
    </row>
    <row r="12" spans="1:10" x14ac:dyDescent="0.3">
      <c r="A12" s="8" t="s">
        <v>813</v>
      </c>
      <c r="B12" s="2" t="s">
        <v>814</v>
      </c>
    </row>
    <row r="13" spans="1:10" x14ac:dyDescent="0.3">
      <c r="A13" s="10" t="s">
        <v>0</v>
      </c>
      <c r="B13" s="10"/>
      <c r="C13" s="10"/>
      <c r="D13" s="10"/>
      <c r="E13" s="10" t="s">
        <v>1</v>
      </c>
      <c r="F13" s="10"/>
      <c r="G13" s="10"/>
      <c r="H13" s="8" t="s">
        <v>2</v>
      </c>
      <c r="J13" s="8"/>
    </row>
    <row r="14" spans="1:10" x14ac:dyDescent="0.3">
      <c r="A14" s="234" t="s">
        <v>738</v>
      </c>
      <c r="B14" s="181"/>
      <c r="C14" s="181"/>
      <c r="D14" s="235"/>
      <c r="E14" s="208" t="str">
        <f>IFERROR(VLOOKUP($A14,values!$BB:$BC,2,0),"")</f>
        <v>Site Engineer</v>
      </c>
      <c r="F14" s="241"/>
      <c r="G14" s="209"/>
      <c r="H14" s="208" t="str">
        <f>IFERROR(VLOOKUP($A14,values!$BB:$BD,3,0),"")</f>
        <v>Ericsson</v>
      </c>
      <c r="I14" s="239"/>
      <c r="J14" s="8"/>
    </row>
    <row r="15" spans="1:10" x14ac:dyDescent="0.3">
      <c r="A15" s="234"/>
      <c r="B15" s="181"/>
      <c r="C15" s="181"/>
      <c r="D15" s="235"/>
      <c r="E15" s="208" t="str">
        <f>IFERROR(VLOOKUP($A15,values!$BB:$BC,2,0),"")</f>
        <v/>
      </c>
      <c r="F15" s="241"/>
      <c r="G15" s="209"/>
      <c r="H15" s="208" t="str">
        <f>IFERROR(VLOOKUP($A15,values!$BB:$BD,3,0),"")</f>
        <v/>
      </c>
      <c r="I15" s="239"/>
      <c r="J15" s="8"/>
    </row>
    <row r="16" spans="1:10" x14ac:dyDescent="0.3">
      <c r="A16" s="234"/>
      <c r="B16" s="181"/>
      <c r="C16" s="181"/>
      <c r="D16" s="235"/>
      <c r="E16" s="208" t="str">
        <f>IFERROR(VLOOKUP($A16,values!$BB:$BC,2,0),"")</f>
        <v/>
      </c>
      <c r="F16" s="241"/>
      <c r="G16" s="209"/>
      <c r="H16" s="208" t="str">
        <f>IFERROR(VLOOKUP($A16,values!$BB:$BD,3,0),"")</f>
        <v/>
      </c>
      <c r="I16" s="239"/>
      <c r="J16" s="8"/>
    </row>
    <row r="17" spans="1:10" x14ac:dyDescent="0.3">
      <c r="A17" s="305"/>
      <c r="B17" s="191"/>
      <c r="C17" s="191"/>
      <c r="D17" s="306"/>
      <c r="E17" s="234"/>
      <c r="F17" s="181"/>
      <c r="G17" s="181"/>
      <c r="H17" s="307"/>
      <c r="I17" s="307"/>
      <c r="J17" s="98"/>
    </row>
    <row r="18" spans="1:10" x14ac:dyDescent="0.3">
      <c r="A18" s="305"/>
      <c r="B18" s="191"/>
      <c r="C18" s="191"/>
      <c r="D18" s="306"/>
      <c r="E18" s="234"/>
      <c r="F18" s="181"/>
      <c r="G18" s="181"/>
      <c r="H18" s="307"/>
      <c r="I18" s="307"/>
      <c r="J18" s="98" t="s">
        <v>635</v>
      </c>
    </row>
    <row r="19" spans="1:10" x14ac:dyDescent="0.3">
      <c r="A19" s="305"/>
      <c r="B19" s="191"/>
      <c r="C19" s="191"/>
      <c r="D19" s="306"/>
      <c r="E19" s="234"/>
      <c r="F19" s="181"/>
      <c r="G19" s="181"/>
      <c r="H19" s="307"/>
      <c r="I19" s="307"/>
      <c r="J19" s="98" t="s">
        <v>595</v>
      </c>
    </row>
    <row r="20" spans="1:10" x14ac:dyDescent="0.3">
      <c r="A20"/>
      <c r="B20"/>
      <c r="C20"/>
      <c r="F20"/>
      <c r="G20"/>
      <c r="H20"/>
    </row>
    <row r="21" spans="1:10" x14ac:dyDescent="0.3">
      <c r="A21" s="27" t="s">
        <v>362</v>
      </c>
      <c r="B21" s="28"/>
      <c r="C21" s="28"/>
      <c r="D21" s="28"/>
      <c r="E21" s="29"/>
      <c r="F21" s="257"/>
      <c r="G21" s="258"/>
    </row>
    <row r="22" spans="1:10" x14ac:dyDescent="0.3">
      <c r="A22" s="27" t="s">
        <v>357</v>
      </c>
      <c r="B22" s="28"/>
      <c r="C22" s="28"/>
      <c r="D22" s="28"/>
      <c r="E22" s="29"/>
      <c r="F22" s="257"/>
      <c r="G22" s="258"/>
    </row>
    <row r="23" spans="1:10" x14ac:dyDescent="0.3">
      <c r="A23" s="27" t="s">
        <v>527</v>
      </c>
      <c r="B23" s="33"/>
      <c r="C23" s="33"/>
      <c r="D23" s="33"/>
      <c r="E23" s="34"/>
      <c r="F23" s="257"/>
      <c r="G23" s="258"/>
    </row>
    <row r="24" spans="1:10" x14ac:dyDescent="0.3">
      <c r="A24" s="27" t="s">
        <v>358</v>
      </c>
      <c r="B24" s="33"/>
      <c r="C24" s="33"/>
      <c r="D24" s="33"/>
      <c r="E24" s="34"/>
      <c r="F24" s="257"/>
      <c r="G24" s="258"/>
    </row>
    <row r="25" spans="1:10" x14ac:dyDescent="0.3">
      <c r="A25" s="27" t="s">
        <v>359</v>
      </c>
      <c r="B25" s="33"/>
      <c r="C25" s="33"/>
      <c r="D25" s="33"/>
      <c r="E25" s="34"/>
      <c r="F25" s="257"/>
      <c r="G25" s="258"/>
    </row>
    <row r="26" spans="1:10" x14ac:dyDescent="0.3">
      <c r="A26" s="27" t="s">
        <v>360</v>
      </c>
      <c r="B26" s="33"/>
      <c r="C26" s="33"/>
      <c r="D26" s="33"/>
      <c r="E26" s="34"/>
      <c r="F26" s="257"/>
      <c r="G26" s="258"/>
    </row>
    <row r="27" spans="1:10" x14ac:dyDescent="0.3">
      <c r="A27" s="27" t="s">
        <v>363</v>
      </c>
      <c r="B27" s="33"/>
      <c r="C27" s="33"/>
      <c r="D27" s="33"/>
      <c r="E27" s="34"/>
      <c r="F27" s="257"/>
      <c r="G27" s="258"/>
    </row>
    <row r="28" spans="1:10" x14ac:dyDescent="0.3">
      <c r="A28" s="27" t="s">
        <v>361</v>
      </c>
      <c r="B28" s="33"/>
      <c r="C28" s="33"/>
      <c r="D28" s="33"/>
      <c r="E28" s="34"/>
      <c r="F28" s="257"/>
      <c r="G28" s="258"/>
    </row>
    <row r="29" spans="1:10" x14ac:dyDescent="0.3">
      <c r="A29" s="27" t="s">
        <v>364</v>
      </c>
      <c r="B29" s="33"/>
      <c r="C29" s="33"/>
      <c r="D29" s="33"/>
      <c r="E29" s="34"/>
      <c r="F29" s="257"/>
      <c r="G29" s="258"/>
    </row>
    <row r="30" spans="1:10" x14ac:dyDescent="0.3">
      <c r="A30" s="23"/>
      <c r="B30" s="23"/>
      <c r="C30" s="23"/>
      <c r="D30" s="23"/>
      <c r="E30" s="23"/>
    </row>
    <row r="31" spans="1:10" x14ac:dyDescent="0.3">
      <c r="A31" s="23" t="s">
        <v>57</v>
      </c>
      <c r="B31" s="23"/>
      <c r="C31" s="23"/>
      <c r="D31" s="23"/>
      <c r="E31" s="23"/>
    </row>
    <row r="32" spans="1:10" x14ac:dyDescent="0.3">
      <c r="A32" s="261"/>
      <c r="B32" s="261"/>
      <c r="C32" s="261"/>
      <c r="D32" s="261"/>
      <c r="E32" s="261"/>
      <c r="F32" s="261"/>
      <c r="G32" s="261"/>
      <c r="H32" s="261"/>
    </row>
    <row r="33" spans="1:10" x14ac:dyDescent="0.3">
      <c r="A33" s="262"/>
      <c r="B33" s="262"/>
      <c r="C33" s="262"/>
      <c r="D33" s="262"/>
      <c r="E33" s="262"/>
      <c r="F33" s="262"/>
      <c r="G33" s="262"/>
      <c r="H33" s="262"/>
    </row>
    <row r="34" spans="1:10" x14ac:dyDescent="0.3">
      <c r="A34" s="262"/>
      <c r="B34" s="262"/>
      <c r="C34" s="262"/>
      <c r="D34" s="262"/>
      <c r="E34" s="262"/>
      <c r="F34" s="262"/>
      <c r="G34" s="262"/>
      <c r="H34" s="262"/>
    </row>
    <row r="35" spans="1:10" x14ac:dyDescent="0.3">
      <c r="A35" s="262"/>
      <c r="B35" s="262"/>
      <c r="C35" s="262"/>
      <c r="D35" s="262"/>
      <c r="E35" s="262"/>
      <c r="F35" s="262"/>
      <c r="G35" s="262"/>
      <c r="H35" s="262"/>
    </row>
    <row r="36" spans="1:10" x14ac:dyDescent="0.3">
      <c r="A36" s="23"/>
      <c r="B36" s="23"/>
      <c r="C36" s="23"/>
      <c r="D36" s="23"/>
      <c r="E36" s="23"/>
    </row>
    <row r="37" spans="1:10" x14ac:dyDescent="0.3">
      <c r="A37" s="9" t="s">
        <v>453</v>
      </c>
      <c r="B37" s="9"/>
      <c r="C37" s="23"/>
      <c r="D37" s="23"/>
      <c r="E37" s="23"/>
    </row>
    <row r="38" spans="1:10" x14ac:dyDescent="0.3">
      <c r="A38" s="9" t="s">
        <v>365</v>
      </c>
      <c r="B38" s="9"/>
      <c r="C38" s="9"/>
      <c r="D38" s="23"/>
      <c r="E38" s="23"/>
    </row>
    <row r="39" spans="1:10" x14ac:dyDescent="0.3">
      <c r="A39" s="23" t="s">
        <v>370</v>
      </c>
      <c r="B39" s="23"/>
      <c r="C39" s="23"/>
      <c r="D39" s="23"/>
      <c r="E39" s="23"/>
    </row>
    <row r="40" spans="1:10" x14ac:dyDescent="0.3">
      <c r="A40"/>
      <c r="B40"/>
      <c r="C40"/>
      <c r="D40"/>
      <c r="E40"/>
      <c r="F40"/>
    </row>
    <row r="41" spans="1:10" x14ac:dyDescent="0.3">
      <c r="A41" s="41" t="s">
        <v>366</v>
      </c>
      <c r="B41" s="35"/>
      <c r="C41" s="25"/>
      <c r="D41" s="23"/>
      <c r="E41" s="41" t="s">
        <v>644</v>
      </c>
      <c r="F41" s="38"/>
      <c r="G41" s="15"/>
      <c r="I41" s="27" t="s">
        <v>646</v>
      </c>
      <c r="J41" s="25"/>
    </row>
    <row r="42" spans="1:10" x14ac:dyDescent="0.3">
      <c r="A42" s="42" t="s">
        <v>367</v>
      </c>
      <c r="B42" s="33"/>
      <c r="C42" s="25"/>
      <c r="D42" s="23"/>
      <c r="E42" s="45" t="s">
        <v>369</v>
      </c>
      <c r="F42" s="46"/>
      <c r="G42" s="15"/>
      <c r="I42" s="27" t="s">
        <v>645</v>
      </c>
      <c r="J42" s="25" t="s">
        <v>13</v>
      </c>
    </row>
    <row r="43" spans="1:10" x14ac:dyDescent="0.3">
      <c r="A43" s="43" t="s">
        <v>368</v>
      </c>
      <c r="B43" s="44"/>
      <c r="C43" s="25"/>
      <c r="D43" s="23"/>
      <c r="E43" s="42" t="s">
        <v>650</v>
      </c>
      <c r="F43" s="24"/>
      <c r="G43" s="15"/>
    </row>
    <row r="44" spans="1:10" x14ac:dyDescent="0.3">
      <c r="A44" s="23"/>
      <c r="B44" s="23"/>
      <c r="C44" s="23"/>
      <c r="D44" s="23"/>
      <c r="E44" s="23"/>
    </row>
    <row r="45" spans="1:10" x14ac:dyDescent="0.3">
      <c r="A45" s="20" t="s">
        <v>57</v>
      </c>
    </row>
    <row r="46" spans="1:10" x14ac:dyDescent="0.3">
      <c r="A46" s="206"/>
      <c r="B46" s="206"/>
      <c r="C46" s="206"/>
      <c r="D46" s="206"/>
      <c r="E46" s="206"/>
      <c r="F46" s="206"/>
      <c r="G46" s="206"/>
      <c r="H46" s="206"/>
    </row>
    <row r="47" spans="1:10" x14ac:dyDescent="0.3">
      <c r="A47" s="260"/>
      <c r="B47" s="260"/>
      <c r="C47" s="260"/>
      <c r="D47" s="260"/>
      <c r="E47" s="260"/>
      <c r="F47" s="260"/>
      <c r="G47" s="260"/>
      <c r="H47" s="260"/>
    </row>
    <row r="48" spans="1:10" x14ac:dyDescent="0.3">
      <c r="A48" s="260"/>
      <c r="B48" s="260"/>
      <c r="C48" s="260"/>
      <c r="D48" s="260"/>
      <c r="E48" s="260"/>
      <c r="F48" s="260"/>
      <c r="G48" s="260"/>
      <c r="H48" s="260"/>
    </row>
    <row r="49" spans="1:8" x14ac:dyDescent="0.3">
      <c r="A49" s="260"/>
      <c r="B49" s="260"/>
      <c r="C49" s="260"/>
      <c r="D49" s="260"/>
      <c r="E49" s="260"/>
      <c r="F49" s="260"/>
      <c r="G49" s="260"/>
      <c r="H49" s="260"/>
    </row>
    <row r="50" spans="1:8" x14ac:dyDescent="0.3">
      <c r="A50" s="23"/>
      <c r="B50" s="23"/>
      <c r="C50" s="23"/>
      <c r="D50" s="23"/>
      <c r="E50" s="23"/>
    </row>
    <row r="51" spans="1:8" x14ac:dyDescent="0.3">
      <c r="A51" s="9" t="s">
        <v>454</v>
      </c>
      <c r="B51" s="23"/>
      <c r="C51" s="23"/>
      <c r="D51" s="23"/>
      <c r="E51" s="23"/>
    </row>
    <row r="53" spans="1:8" x14ac:dyDescent="0.3">
      <c r="A53" s="37" t="s">
        <v>465</v>
      </c>
      <c r="B53" s="28"/>
      <c r="C53" s="28"/>
      <c r="D53" s="29"/>
      <c r="E53" s="26"/>
      <c r="F53" s="15" t="s">
        <v>68</v>
      </c>
    </row>
    <row r="54" spans="1:8" x14ac:dyDescent="0.3">
      <c r="A54" s="39" t="s">
        <v>498</v>
      </c>
      <c r="B54" s="50"/>
      <c r="C54" s="50"/>
      <c r="D54" s="50"/>
      <c r="E54" s="64"/>
      <c r="F54" s="64"/>
    </row>
    <row r="56" spans="1:8" x14ac:dyDescent="0.3">
      <c r="A56" s="20" t="s">
        <v>57</v>
      </c>
    </row>
    <row r="57" spans="1:8" x14ac:dyDescent="0.3">
      <c r="A57" s="206"/>
      <c r="B57" s="206"/>
      <c r="C57" s="206"/>
      <c r="D57" s="206"/>
      <c r="E57" s="206"/>
      <c r="F57" s="206"/>
      <c r="G57" s="206"/>
      <c r="H57" s="206"/>
    </row>
    <row r="58" spans="1:8" x14ac:dyDescent="0.3">
      <c r="A58" s="260"/>
      <c r="B58" s="260"/>
      <c r="C58" s="260"/>
      <c r="D58" s="260"/>
      <c r="E58" s="260"/>
      <c r="F58" s="260"/>
      <c r="G58" s="260"/>
      <c r="H58" s="260"/>
    </row>
    <row r="59" spans="1:8" x14ac:dyDescent="0.3">
      <c r="A59" s="23"/>
      <c r="B59" s="23"/>
      <c r="C59" s="23"/>
      <c r="D59" s="23"/>
      <c r="E59" s="23"/>
    </row>
    <row r="60" spans="1:8" x14ac:dyDescent="0.3">
      <c r="A60" s="9" t="s">
        <v>455</v>
      </c>
      <c r="B60" s="23"/>
      <c r="C60" s="23"/>
      <c r="D60" s="23"/>
      <c r="E60" s="23"/>
    </row>
    <row r="61" spans="1:8" x14ac:dyDescent="0.3">
      <c r="A61" s="23"/>
      <c r="B61" s="23"/>
      <c r="C61" s="23"/>
      <c r="D61" s="23"/>
      <c r="E61" s="23"/>
    </row>
    <row r="62" spans="1:8" x14ac:dyDescent="0.3">
      <c r="A62" s="338"/>
      <c r="B62" s="338"/>
      <c r="C62" s="69" t="s">
        <v>180</v>
      </c>
      <c r="D62" s="329" t="s">
        <v>600</v>
      </c>
      <c r="E62" s="330"/>
      <c r="F62" s="331"/>
      <c r="G62" s="59"/>
    </row>
    <row r="63" spans="1:8" x14ac:dyDescent="0.3">
      <c r="A63" s="340"/>
      <c r="B63" s="340"/>
      <c r="C63" s="15" t="s">
        <v>371</v>
      </c>
      <c r="D63" s="329"/>
      <c r="E63" s="330"/>
      <c r="F63" s="331"/>
      <c r="G63" s="52"/>
    </row>
    <row r="64" spans="1:8" x14ac:dyDescent="0.3">
      <c r="A64" s="23"/>
      <c r="B64" s="23"/>
      <c r="C64" s="23"/>
      <c r="D64" s="23"/>
      <c r="E64" s="23"/>
    </row>
    <row r="65" spans="1:9" x14ac:dyDescent="0.3">
      <c r="A65" s="20" t="s">
        <v>531</v>
      </c>
    </row>
    <row r="66" spans="1:9" x14ac:dyDescent="0.3">
      <c r="A66" s="206"/>
      <c r="B66" s="206"/>
      <c r="C66" s="206"/>
      <c r="D66" s="206"/>
      <c r="E66" s="206"/>
      <c r="F66" s="206"/>
      <c r="G66" s="206"/>
      <c r="H66" s="206"/>
    </row>
    <row r="67" spans="1:9" x14ac:dyDescent="0.3">
      <c r="A67" s="260"/>
      <c r="B67" s="260"/>
      <c r="C67" s="260"/>
      <c r="D67" s="260"/>
      <c r="E67" s="260"/>
      <c r="F67" s="260"/>
      <c r="G67" s="260"/>
      <c r="H67" s="260"/>
    </row>
    <row r="68" spans="1:9" x14ac:dyDescent="0.3">
      <c r="A68" s="260"/>
      <c r="B68" s="260"/>
      <c r="C68" s="260"/>
      <c r="D68" s="260"/>
      <c r="E68" s="260"/>
      <c r="F68" s="260"/>
      <c r="G68" s="260"/>
      <c r="H68" s="260"/>
    </row>
    <row r="69" spans="1:9" x14ac:dyDescent="0.3">
      <c r="A69" s="260"/>
      <c r="B69" s="260"/>
      <c r="C69" s="260"/>
      <c r="D69" s="260"/>
      <c r="E69" s="260"/>
      <c r="F69" s="260"/>
      <c r="G69" s="260"/>
      <c r="H69" s="260"/>
    </row>
    <row r="70" spans="1:9" x14ac:dyDescent="0.3">
      <c r="A70" s="73"/>
      <c r="B70" s="73"/>
      <c r="C70" s="73"/>
      <c r="D70" s="73"/>
      <c r="E70" s="73"/>
      <c r="F70" s="73"/>
      <c r="G70" s="73"/>
      <c r="H70" s="73"/>
    </row>
    <row r="71" spans="1:9" x14ac:dyDescent="0.3">
      <c r="A71" s="73"/>
      <c r="B71" s="73"/>
      <c r="C71" s="73"/>
      <c r="D71" s="73"/>
      <c r="E71" s="73"/>
      <c r="F71" s="73"/>
      <c r="G71" s="73"/>
      <c r="H71" s="73"/>
    </row>
    <row r="72" spans="1:9" x14ac:dyDescent="0.3">
      <c r="A72" s="308" t="s">
        <v>545</v>
      </c>
      <c r="B72" s="309"/>
      <c r="C72" s="309"/>
      <c r="D72" s="309"/>
      <c r="E72" s="73"/>
      <c r="F72" s="73"/>
      <c r="G72" s="73"/>
      <c r="H72" s="73"/>
    </row>
    <row r="73" spans="1:9" x14ac:dyDescent="0.3">
      <c r="A73" s="310" t="s">
        <v>546</v>
      </c>
      <c r="B73" s="311"/>
      <c r="C73" s="311"/>
      <c r="D73" s="311"/>
      <c r="E73" s="311"/>
      <c r="F73" s="311"/>
      <c r="G73" s="311"/>
      <c r="H73" s="311"/>
      <c r="I73" s="311"/>
    </row>
    <row r="74" spans="1:9" x14ac:dyDescent="0.3">
      <c r="A74" s="264"/>
      <c r="B74" s="264"/>
      <c r="C74" s="264"/>
      <c r="D74" s="264"/>
      <c r="E74" s="264"/>
      <c r="F74" s="264"/>
      <c r="G74" s="264"/>
      <c r="H74" s="264"/>
    </row>
    <row r="75" spans="1:9" x14ac:dyDescent="0.3">
      <c r="A75" s="263"/>
      <c r="B75" s="263"/>
      <c r="C75" s="263"/>
      <c r="D75" s="263"/>
      <c r="E75" s="263"/>
      <c r="F75" s="263"/>
      <c r="G75" s="263"/>
      <c r="H75" s="263"/>
    </row>
    <row r="76" spans="1:9" x14ac:dyDescent="0.3">
      <c r="A76" s="263"/>
      <c r="B76" s="263"/>
      <c r="C76" s="263"/>
      <c r="D76" s="263"/>
      <c r="E76" s="263"/>
      <c r="F76" s="263"/>
      <c r="G76" s="263"/>
      <c r="H76" s="263"/>
    </row>
    <row r="77" spans="1:9" x14ac:dyDescent="0.3">
      <c r="A77" s="263"/>
      <c r="B77" s="263"/>
      <c r="C77" s="263"/>
      <c r="D77" s="263"/>
      <c r="E77" s="263"/>
      <c r="F77" s="263"/>
      <c r="G77" s="263"/>
      <c r="H77" s="263"/>
    </row>
    <row r="78" spans="1:9" x14ac:dyDescent="0.3">
      <c r="A78" s="264"/>
      <c r="B78" s="264"/>
      <c r="C78" s="264"/>
      <c r="D78" s="264"/>
      <c r="E78" s="264"/>
      <c r="F78" s="264"/>
      <c r="G78" s="264"/>
      <c r="H78" s="264"/>
    </row>
    <row r="79" spans="1:9" x14ac:dyDescent="0.3">
      <c r="A79" s="263"/>
      <c r="B79" s="263"/>
      <c r="C79" s="263"/>
      <c r="D79" s="263"/>
      <c r="E79" s="263"/>
      <c r="F79" s="263"/>
      <c r="G79" s="263"/>
      <c r="H79" s="263"/>
    </row>
    <row r="80" spans="1:9" x14ac:dyDescent="0.3">
      <c r="A80" s="263"/>
      <c r="B80" s="263"/>
      <c r="C80" s="263"/>
      <c r="D80" s="263"/>
      <c r="E80" s="263"/>
      <c r="F80" s="263"/>
      <c r="G80" s="263"/>
      <c r="H80" s="263"/>
    </row>
    <row r="81" spans="1:8" x14ac:dyDescent="0.3">
      <c r="A81" s="263"/>
      <c r="B81" s="263"/>
      <c r="C81" s="263"/>
      <c r="D81" s="263"/>
      <c r="E81" s="263"/>
      <c r="F81" s="263"/>
      <c r="G81" s="263"/>
      <c r="H81" s="263"/>
    </row>
    <row r="82" spans="1:8" x14ac:dyDescent="0.3">
      <c r="A82" s="264"/>
      <c r="B82" s="264"/>
      <c r="C82" s="264"/>
      <c r="D82" s="264"/>
      <c r="E82" s="264"/>
      <c r="F82" s="264"/>
      <c r="G82" s="264"/>
      <c r="H82" s="264"/>
    </row>
    <row r="83" spans="1:8" x14ac:dyDescent="0.3">
      <c r="A83" s="263"/>
      <c r="B83" s="263"/>
      <c r="C83" s="263"/>
      <c r="D83" s="263"/>
      <c r="E83" s="263"/>
      <c r="F83" s="263"/>
      <c r="G83" s="263"/>
      <c r="H83" s="263"/>
    </row>
    <row r="84" spans="1:8" x14ac:dyDescent="0.3">
      <c r="A84" s="263"/>
      <c r="B84" s="263"/>
      <c r="C84" s="263"/>
      <c r="D84" s="263"/>
      <c r="E84" s="263"/>
      <c r="F84" s="263"/>
      <c r="G84" s="263"/>
      <c r="H84" s="263"/>
    </row>
    <row r="85" spans="1:8" x14ac:dyDescent="0.3">
      <c r="A85" s="263"/>
      <c r="B85" s="263"/>
      <c r="C85" s="263"/>
      <c r="D85" s="263"/>
      <c r="E85" s="263"/>
      <c r="F85" s="263"/>
      <c r="G85" s="263"/>
      <c r="H85" s="263"/>
    </row>
    <row r="86" spans="1:8" x14ac:dyDescent="0.3">
      <c r="A86" s="264"/>
      <c r="B86" s="264"/>
      <c r="C86" s="264"/>
      <c r="D86" s="264"/>
      <c r="E86" s="264"/>
      <c r="F86" s="264"/>
      <c r="G86" s="264"/>
      <c r="H86" s="264"/>
    </row>
    <row r="87" spans="1:8" x14ac:dyDescent="0.3">
      <c r="A87" s="263"/>
      <c r="B87" s="263"/>
      <c r="C87" s="263"/>
      <c r="D87" s="263"/>
      <c r="E87" s="263"/>
      <c r="F87" s="263"/>
      <c r="G87" s="263"/>
      <c r="H87" s="263"/>
    </row>
    <row r="88" spans="1:8" x14ac:dyDescent="0.3">
      <c r="A88" s="263"/>
      <c r="B88" s="263"/>
      <c r="C88" s="263"/>
      <c r="D88" s="263"/>
      <c r="E88" s="263"/>
      <c r="F88" s="263"/>
      <c r="G88" s="263"/>
      <c r="H88" s="263"/>
    </row>
    <row r="89" spans="1:8" x14ac:dyDescent="0.3">
      <c r="A89" s="263"/>
      <c r="B89" s="263"/>
      <c r="C89" s="263"/>
      <c r="D89" s="263"/>
      <c r="E89" s="263"/>
      <c r="F89" s="263"/>
      <c r="G89" s="263"/>
      <c r="H89" s="263"/>
    </row>
    <row r="90" spans="1:8" x14ac:dyDescent="0.3">
      <c r="A90" s="264"/>
      <c r="B90" s="264"/>
      <c r="C90" s="264"/>
      <c r="D90" s="264"/>
      <c r="E90" s="264"/>
      <c r="F90" s="264"/>
      <c r="G90" s="264"/>
      <c r="H90" s="264"/>
    </row>
    <row r="91" spans="1:8" x14ac:dyDescent="0.3">
      <c r="A91" s="263"/>
      <c r="B91" s="263"/>
      <c r="C91" s="263"/>
      <c r="D91" s="263"/>
      <c r="E91" s="263"/>
      <c r="F91" s="263"/>
      <c r="G91" s="263"/>
      <c r="H91" s="263"/>
    </row>
    <row r="92" spans="1:8" x14ac:dyDescent="0.3">
      <c r="A92" s="263"/>
      <c r="B92" s="263"/>
      <c r="C92" s="263"/>
      <c r="D92" s="263"/>
      <c r="E92" s="263"/>
      <c r="F92" s="263"/>
      <c r="G92" s="263"/>
      <c r="H92" s="263"/>
    </row>
    <row r="93" spans="1:8" x14ac:dyDescent="0.3">
      <c r="A93" s="263"/>
      <c r="B93" s="263"/>
      <c r="C93" s="263"/>
      <c r="D93" s="263"/>
      <c r="E93" s="263"/>
      <c r="F93" s="263"/>
      <c r="G93" s="263"/>
      <c r="H93" s="263"/>
    </row>
    <row r="94" spans="1:8" x14ac:dyDescent="0.3">
      <c r="A94" s="264"/>
      <c r="B94" s="264"/>
      <c r="C94" s="264"/>
      <c r="D94" s="264"/>
      <c r="E94" s="264"/>
      <c r="F94" s="264"/>
      <c r="G94" s="264"/>
      <c r="H94" s="264"/>
    </row>
    <row r="95" spans="1:8" x14ac:dyDescent="0.3">
      <c r="A95" s="263"/>
      <c r="B95" s="263"/>
      <c r="C95" s="263"/>
      <c r="D95" s="263"/>
      <c r="E95" s="263"/>
      <c r="F95" s="263"/>
      <c r="G95" s="263"/>
      <c r="H95" s="263"/>
    </row>
    <row r="96" spans="1:8" x14ac:dyDescent="0.3">
      <c r="A96" s="263"/>
      <c r="B96" s="263"/>
      <c r="C96" s="263"/>
      <c r="D96" s="263"/>
      <c r="E96" s="263"/>
      <c r="F96" s="263"/>
      <c r="G96" s="263"/>
      <c r="H96" s="263"/>
    </row>
    <row r="97" spans="1:9" x14ac:dyDescent="0.3">
      <c r="A97" s="73"/>
      <c r="B97" s="73"/>
      <c r="C97" s="73"/>
      <c r="D97" s="73"/>
      <c r="E97" s="73"/>
      <c r="F97" s="73"/>
      <c r="G97" s="73"/>
      <c r="H97" s="73"/>
    </row>
    <row r="98" spans="1:9" x14ac:dyDescent="0.3">
      <c r="A98" s="73"/>
      <c r="B98" s="73"/>
      <c r="C98" s="73"/>
      <c r="D98" s="73"/>
      <c r="E98" s="73"/>
      <c r="F98" s="73"/>
      <c r="G98" s="73"/>
      <c r="H98" s="73"/>
    </row>
    <row r="99" spans="1:9" x14ac:dyDescent="0.3">
      <c r="A99" s="73"/>
      <c r="B99" s="73"/>
      <c r="C99" s="73"/>
      <c r="D99" s="73"/>
      <c r="E99" s="73"/>
      <c r="F99" s="73"/>
      <c r="G99" s="73"/>
      <c r="H99" s="73"/>
    </row>
    <row r="100" spans="1:9" x14ac:dyDescent="0.3">
      <c r="A100" s="73"/>
      <c r="B100" s="73"/>
      <c r="C100" s="73"/>
      <c r="D100" s="73"/>
      <c r="E100" s="73"/>
      <c r="F100" s="73"/>
      <c r="G100" s="73"/>
      <c r="H100" s="73"/>
    </row>
    <row r="101" spans="1:9" x14ac:dyDescent="0.3">
      <c r="A101" s="23"/>
      <c r="B101" s="23"/>
      <c r="C101" s="23"/>
      <c r="D101" s="23"/>
      <c r="E101" s="23"/>
    </row>
    <row r="102" spans="1:9" x14ac:dyDescent="0.3">
      <c r="A102" s="23"/>
      <c r="B102" s="23"/>
      <c r="C102" s="23"/>
      <c r="D102" s="23"/>
      <c r="E102" s="23"/>
    </row>
    <row r="103" spans="1:9" x14ac:dyDescent="0.3">
      <c r="A103" s="9" t="s">
        <v>797</v>
      </c>
      <c r="C103" s="52"/>
    </row>
    <row r="104" spans="1:9" ht="15" customHeight="1" x14ac:dyDescent="0.3">
      <c r="A104" s="312" t="s">
        <v>34</v>
      </c>
      <c r="B104" s="312"/>
      <c r="C104" s="312"/>
      <c r="D104" s="312"/>
      <c r="E104" s="312"/>
      <c r="F104" s="312"/>
      <c r="G104" s="312"/>
      <c r="H104" s="313"/>
    </row>
    <row r="105" spans="1:9" s="14" customFormat="1" ht="27.6" x14ac:dyDescent="0.3">
      <c r="A105" s="11"/>
      <c r="B105" s="11" t="s">
        <v>35</v>
      </c>
      <c r="C105" s="12" t="s">
        <v>36</v>
      </c>
      <c r="D105" s="13" t="s">
        <v>77</v>
      </c>
      <c r="E105" s="11" t="s">
        <v>65</v>
      </c>
      <c r="F105" s="119" t="s">
        <v>37</v>
      </c>
      <c r="G105" s="119" t="s">
        <v>38</v>
      </c>
      <c r="H105" s="119" t="s">
        <v>39</v>
      </c>
      <c r="I105" s="13" t="s">
        <v>793</v>
      </c>
    </row>
    <row r="106" spans="1:9" s="14" customFormat="1" x14ac:dyDescent="0.3">
      <c r="A106" s="19" t="s">
        <v>794</v>
      </c>
      <c r="B106" s="19" t="s">
        <v>740</v>
      </c>
      <c r="C106" s="67" t="s">
        <v>113</v>
      </c>
      <c r="D106" s="148">
        <v>6150</v>
      </c>
      <c r="E106" s="6" t="s">
        <v>745</v>
      </c>
      <c r="F106" s="6">
        <v>2217</v>
      </c>
      <c r="G106" s="149">
        <f>IF($F106="","",$F106)</f>
        <v>2217</v>
      </c>
      <c r="H106" s="149" t="str">
        <f>IF($C$7="Ja","",$G106)</f>
        <v/>
      </c>
      <c r="I106" s="175" t="s">
        <v>791</v>
      </c>
    </row>
    <row r="107" spans="1:9" x14ac:dyDescent="0.3">
      <c r="A107" s="15"/>
      <c r="B107" s="16" t="s">
        <v>42</v>
      </c>
      <c r="C107" s="16">
        <v>800</v>
      </c>
      <c r="D107" s="148">
        <v>6150</v>
      </c>
      <c r="E107" s="6" t="s">
        <v>745</v>
      </c>
      <c r="F107" s="6">
        <v>2460</v>
      </c>
      <c r="G107" s="149">
        <f t="shared" ref="G107:G112" si="0">IF($F107="","",$F107)</f>
        <v>2460</v>
      </c>
      <c r="H107" s="149" t="str">
        <f t="shared" ref="H107:H112" si="1">IF($C$7="Ja","",$G107)</f>
        <v/>
      </c>
      <c r="I107" s="176"/>
    </row>
    <row r="108" spans="1:9" x14ac:dyDescent="0.3">
      <c r="A108" s="16"/>
      <c r="B108" s="16" t="s">
        <v>43</v>
      </c>
      <c r="C108" s="16">
        <v>900</v>
      </c>
      <c r="D108" s="148">
        <v>6150</v>
      </c>
      <c r="E108" s="150" t="str">
        <f>values!$D$4</f>
        <v>DUG20</v>
      </c>
      <c r="F108" s="149">
        <f>IF($F107="","",$F107)</f>
        <v>2460</v>
      </c>
      <c r="G108" s="149">
        <f t="shared" si="0"/>
        <v>2460</v>
      </c>
      <c r="H108" s="149" t="str">
        <f t="shared" si="1"/>
        <v/>
      </c>
      <c r="I108" s="176"/>
    </row>
    <row r="109" spans="1:9" x14ac:dyDescent="0.3">
      <c r="A109" s="147" t="s">
        <v>795</v>
      </c>
      <c r="B109" s="16" t="s">
        <v>42</v>
      </c>
      <c r="C109" s="15" t="s">
        <v>114</v>
      </c>
      <c r="D109" s="6"/>
      <c r="E109" s="6"/>
      <c r="F109" s="6">
        <v>4020</v>
      </c>
      <c r="G109" s="149">
        <f t="shared" si="0"/>
        <v>4020</v>
      </c>
      <c r="H109" s="149" t="str">
        <f t="shared" si="1"/>
        <v/>
      </c>
      <c r="I109" s="176"/>
    </row>
    <row r="110" spans="1:9" x14ac:dyDescent="0.3">
      <c r="A110" s="15" t="s">
        <v>796</v>
      </c>
      <c r="B110" s="15" t="s">
        <v>42</v>
      </c>
      <c r="C110" s="15" t="s">
        <v>511</v>
      </c>
      <c r="D110" s="6"/>
      <c r="E110" s="6"/>
      <c r="F110" s="6">
        <v>2260</v>
      </c>
      <c r="G110" s="149">
        <f t="shared" si="0"/>
        <v>2260</v>
      </c>
      <c r="H110" s="149" t="str">
        <f t="shared" si="1"/>
        <v/>
      </c>
      <c r="I110" s="176"/>
    </row>
    <row r="111" spans="1:9" x14ac:dyDescent="0.3">
      <c r="A111" s="16"/>
      <c r="B111" s="16" t="s">
        <v>42</v>
      </c>
      <c r="C111" s="15" t="s">
        <v>76</v>
      </c>
      <c r="D111" s="6"/>
      <c r="E111" s="6"/>
      <c r="F111" s="149">
        <f>IF($F110="","",$F110)</f>
        <v>2260</v>
      </c>
      <c r="G111" s="149">
        <f t="shared" si="0"/>
        <v>2260</v>
      </c>
      <c r="H111" s="149" t="str">
        <f t="shared" si="1"/>
        <v/>
      </c>
      <c r="I111" s="176"/>
    </row>
    <row r="112" spans="1:9" x14ac:dyDescent="0.3">
      <c r="A112" s="16"/>
      <c r="B112" s="16" t="s">
        <v>42</v>
      </c>
      <c r="C112" s="15" t="s">
        <v>58</v>
      </c>
      <c r="D112" s="6"/>
      <c r="E112" s="6"/>
      <c r="F112" s="6">
        <v>4480</v>
      </c>
      <c r="G112" s="149">
        <f t="shared" si="0"/>
        <v>4480</v>
      </c>
      <c r="H112" s="149" t="str">
        <f t="shared" si="1"/>
        <v/>
      </c>
      <c r="I112" s="176"/>
    </row>
    <row r="113" spans="1:10" x14ac:dyDescent="0.3">
      <c r="A113" s="16"/>
      <c r="B113" s="16" t="s">
        <v>740</v>
      </c>
      <c r="C113" s="15" t="s">
        <v>560</v>
      </c>
      <c r="D113" s="6"/>
      <c r="E113" s="6"/>
      <c r="F113" s="149" t="str">
        <f>IF($G127="","",LEFT($G127,7))</f>
        <v>AIR3258</v>
      </c>
      <c r="G113" s="149" t="str">
        <f>IF($G128="","",LEFT($G128,7))</f>
        <v>AIR3258</v>
      </c>
      <c r="H113" s="149" t="str">
        <f>IF($C$7="Ja","",LEFT($G129,7))</f>
        <v/>
      </c>
      <c r="I113" s="177"/>
    </row>
    <row r="114" spans="1:10" ht="28.8" x14ac:dyDescent="0.3">
      <c r="A114" s="167" t="s">
        <v>853</v>
      </c>
      <c r="B114" s="15" t="s">
        <v>740</v>
      </c>
      <c r="C114" s="88">
        <v>3500</v>
      </c>
      <c r="D114" s="168"/>
      <c r="E114" s="168"/>
      <c r="F114" s="111" t="s">
        <v>854</v>
      </c>
      <c r="G114" s="111" t="s">
        <v>854</v>
      </c>
      <c r="H114" s="111" t="s">
        <v>854</v>
      </c>
      <c r="I114" s="166"/>
    </row>
    <row r="116" spans="1:10" s="18" customFormat="1" x14ac:dyDescent="0.3">
      <c r="A116" s="11"/>
      <c r="B116" s="11" t="s">
        <v>35</v>
      </c>
      <c r="C116" s="12" t="s">
        <v>36</v>
      </c>
      <c r="D116" s="12" t="s">
        <v>641</v>
      </c>
      <c r="E116" s="120"/>
      <c r="F116" s="2"/>
      <c r="G116" s="2"/>
      <c r="H116" s="207" t="s">
        <v>719</v>
      </c>
      <c r="I116" s="198"/>
      <c r="J116" s="199"/>
    </row>
    <row r="117" spans="1:10" s="18" customFormat="1" x14ac:dyDescent="0.3">
      <c r="A117" s="19" t="s">
        <v>794</v>
      </c>
      <c r="B117" s="19" t="s">
        <v>740</v>
      </c>
      <c r="C117" s="19" t="s">
        <v>113</v>
      </c>
      <c r="D117" s="120"/>
      <c r="E117" s="120"/>
      <c r="F117" s="2"/>
      <c r="G117" s="2"/>
      <c r="H117" s="200" t="s">
        <v>720</v>
      </c>
      <c r="I117" s="200"/>
      <c r="J117" s="32" t="s">
        <v>820</v>
      </c>
    </row>
    <row r="118" spans="1:10" x14ac:dyDescent="0.3">
      <c r="A118" s="15"/>
      <c r="B118" s="16" t="s">
        <v>42</v>
      </c>
      <c r="C118" s="16">
        <v>800</v>
      </c>
      <c r="D118" s="120"/>
      <c r="E118" s="120"/>
      <c r="H118" s="316" t="s">
        <v>843</v>
      </c>
      <c r="I118" s="317"/>
      <c r="J118" s="318"/>
    </row>
    <row r="119" spans="1:10" x14ac:dyDescent="0.3">
      <c r="A119" s="16"/>
      <c r="B119" s="16" t="s">
        <v>43</v>
      </c>
      <c r="C119" s="16">
        <v>900</v>
      </c>
      <c r="D119" s="120"/>
      <c r="E119" s="120"/>
    </row>
    <row r="120" spans="1:10" x14ac:dyDescent="0.3">
      <c r="A120" s="147" t="s">
        <v>795</v>
      </c>
      <c r="B120" s="16" t="s">
        <v>42</v>
      </c>
      <c r="C120" s="15" t="s">
        <v>114</v>
      </c>
      <c r="D120" s="6" t="s">
        <v>824</v>
      </c>
      <c r="E120" s="120"/>
    </row>
    <row r="121" spans="1:10" x14ac:dyDescent="0.3">
      <c r="A121" s="15" t="s">
        <v>796</v>
      </c>
      <c r="B121" s="15" t="s">
        <v>42</v>
      </c>
      <c r="C121" s="15" t="s">
        <v>511</v>
      </c>
      <c r="D121" s="120"/>
      <c r="E121" s="120"/>
    </row>
    <row r="122" spans="1:10" x14ac:dyDescent="0.3">
      <c r="A122" s="16"/>
      <c r="B122" s="16" t="s">
        <v>42</v>
      </c>
      <c r="C122" s="15" t="s">
        <v>76</v>
      </c>
      <c r="D122" s="120"/>
      <c r="E122" s="120"/>
    </row>
    <row r="123" spans="1:10" x14ac:dyDescent="0.3">
      <c r="A123" s="16"/>
      <c r="B123" s="16" t="s">
        <v>42</v>
      </c>
      <c r="C123" s="15" t="s">
        <v>58</v>
      </c>
      <c r="D123" s="120"/>
      <c r="E123" s="120"/>
    </row>
    <row r="124" spans="1:10" ht="5.25" customHeight="1" thickBot="1" x14ac:dyDescent="0.35"/>
    <row r="125" spans="1:10" ht="33" customHeight="1" x14ac:dyDescent="0.3">
      <c r="F125" s="187" t="s">
        <v>639</v>
      </c>
      <c r="G125" s="188"/>
      <c r="H125" s="188"/>
      <c r="I125" s="204" t="s">
        <v>662</v>
      </c>
      <c r="J125" s="205"/>
    </row>
    <row r="126" spans="1:10" ht="28.8" x14ac:dyDescent="0.3">
      <c r="A126" s="11" t="s">
        <v>49</v>
      </c>
      <c r="B126" s="207" t="s">
        <v>108</v>
      </c>
      <c r="C126" s="199"/>
      <c r="D126" s="13" t="s">
        <v>349</v>
      </c>
      <c r="E126" s="91" t="s">
        <v>350</v>
      </c>
      <c r="F126" s="99" t="s">
        <v>49</v>
      </c>
      <c r="G126" s="207" t="s">
        <v>108</v>
      </c>
      <c r="H126" s="199"/>
      <c r="I126" s="103" t="s">
        <v>349</v>
      </c>
      <c r="J126" s="100" t="s">
        <v>350</v>
      </c>
    </row>
    <row r="127" spans="1:10" ht="28.5" customHeight="1" x14ac:dyDescent="0.3">
      <c r="A127" s="16" t="s">
        <v>51</v>
      </c>
      <c r="B127" s="189" t="s">
        <v>585</v>
      </c>
      <c r="C127" s="189"/>
      <c r="D127" s="7"/>
      <c r="E127" s="92"/>
      <c r="F127" s="101" t="s">
        <v>52</v>
      </c>
      <c r="G127" s="259" t="s">
        <v>782</v>
      </c>
      <c r="H127" s="259"/>
      <c r="I127" s="7"/>
      <c r="J127" s="102"/>
    </row>
    <row r="128" spans="1:10" ht="28.5" customHeight="1" x14ac:dyDescent="0.3">
      <c r="A128" s="16" t="s">
        <v>53</v>
      </c>
      <c r="B128" s="189" t="s">
        <v>585</v>
      </c>
      <c r="C128" s="189"/>
      <c r="D128" s="7"/>
      <c r="E128" s="92"/>
      <c r="F128" s="101" t="s">
        <v>54</v>
      </c>
      <c r="G128" s="303" t="str">
        <f>IF($G127="","",$G$127)</f>
        <v>AIR3258 achter Mosaic</v>
      </c>
      <c r="H128" s="304"/>
      <c r="I128" s="7"/>
      <c r="J128" s="102"/>
    </row>
    <row r="129" spans="1:10" ht="28.5" customHeight="1" x14ac:dyDescent="0.3">
      <c r="A129" s="16" t="s">
        <v>55</v>
      </c>
      <c r="B129" s="189" t="s">
        <v>585</v>
      </c>
      <c r="C129" s="189"/>
      <c r="D129" s="7"/>
      <c r="E129" s="92"/>
      <c r="F129" s="101" t="s">
        <v>56</v>
      </c>
      <c r="G129" s="303" t="str">
        <f>IF($G128="","",$G$127)</f>
        <v>AIR3258 achter Mosaic</v>
      </c>
      <c r="H129" s="304"/>
      <c r="I129" s="7"/>
      <c r="J129" s="102"/>
    </row>
    <row r="131" spans="1:10" ht="14.55" customHeight="1" x14ac:dyDescent="0.3">
      <c r="A131" s="13" t="s">
        <v>638</v>
      </c>
      <c r="B131" s="11" t="s">
        <v>68</v>
      </c>
      <c r="D131" s="193" t="s">
        <v>660</v>
      </c>
      <c r="E131" s="124" t="s">
        <v>68</v>
      </c>
      <c r="F131" s="79"/>
      <c r="G131" s="195" t="s">
        <v>661</v>
      </c>
      <c r="H131" s="195"/>
      <c r="I131" s="195"/>
      <c r="J131" s="195"/>
    </row>
    <row r="132" spans="1:10" x14ac:dyDescent="0.3">
      <c r="A132" s="6"/>
      <c r="B132" s="97"/>
      <c r="D132" s="315"/>
      <c r="E132" s="153" t="str">
        <f>IF(COUNTIF($E$9,"*+ 3.5GHz*"),"2",IF(COUNTIF($E$9,"*105MHz*"),"1",IF(OR(COUNTIF($E$9,"*+10MHz*"),(COUNTIF($E$9,"*+30MHz*"))),"1","0")))</f>
        <v>2</v>
      </c>
      <c r="F132" s="108"/>
      <c r="G132" s="195"/>
      <c r="H132" s="195"/>
      <c r="I132" s="195"/>
      <c r="J132" s="195"/>
    </row>
    <row r="133" spans="1:10" x14ac:dyDescent="0.3">
      <c r="D133" s="194"/>
      <c r="G133" s="195"/>
      <c r="H133" s="195"/>
      <c r="I133" s="195"/>
      <c r="J133" s="195"/>
    </row>
    <row r="134" spans="1:10" x14ac:dyDescent="0.3">
      <c r="A134" s="20" t="s">
        <v>57</v>
      </c>
    </row>
    <row r="135" spans="1:10" s="14" customFormat="1" x14ac:dyDescent="0.3">
      <c r="A135" s="281"/>
      <c r="B135" s="267"/>
      <c r="C135" s="267"/>
      <c r="D135" s="267"/>
      <c r="E135" s="267"/>
      <c r="F135" s="267"/>
      <c r="G135" s="267"/>
      <c r="H135" s="267"/>
      <c r="I135" s="267"/>
    </row>
    <row r="136" spans="1:10" s="14" customFormat="1" x14ac:dyDescent="0.3">
      <c r="A136" s="270"/>
      <c r="B136" s="245"/>
      <c r="C136" s="245"/>
      <c r="D136" s="245"/>
      <c r="E136" s="245"/>
      <c r="F136" s="245"/>
      <c r="G136" s="245"/>
      <c r="H136" s="245"/>
      <c r="I136" s="245"/>
    </row>
    <row r="137" spans="1:10" x14ac:dyDescent="0.3">
      <c r="A137" s="245"/>
      <c r="B137" s="245"/>
      <c r="C137" s="245"/>
      <c r="D137" s="245"/>
      <c r="E137" s="245"/>
      <c r="F137" s="245"/>
      <c r="G137" s="245"/>
      <c r="H137" s="245"/>
      <c r="I137" s="245"/>
    </row>
    <row r="139" spans="1:10" x14ac:dyDescent="0.3">
      <c r="A139" s="59" t="s">
        <v>492</v>
      </c>
      <c r="B139" s="52"/>
      <c r="C139" s="52"/>
      <c r="E139"/>
    </row>
    <row r="140" spans="1:10" x14ac:dyDescent="0.3">
      <c r="A140"/>
    </row>
    <row r="141" spans="1:10" x14ac:dyDescent="0.3">
      <c r="A141" s="314" t="s">
        <v>643</v>
      </c>
      <c r="B141" s="314"/>
      <c r="C141" s="314"/>
      <c r="D141" s="314"/>
      <c r="E141" s="314"/>
      <c r="F141" s="314"/>
      <c r="G141" s="314"/>
      <c r="H141" s="314"/>
    </row>
    <row r="142" spans="1:10" x14ac:dyDescent="0.3">
      <c r="A142" s="314" t="s">
        <v>518</v>
      </c>
      <c r="B142" s="314"/>
      <c r="C142" s="314"/>
      <c r="D142" s="314"/>
      <c r="E142" s="314"/>
      <c r="F142" s="314"/>
      <c r="G142" s="314"/>
      <c r="H142" s="314"/>
    </row>
    <row r="143" spans="1:10" x14ac:dyDescent="0.3">
      <c r="A143" s="267"/>
      <c r="B143" s="267"/>
      <c r="C143" s="267"/>
      <c r="D143" s="267"/>
      <c r="E143" s="267"/>
      <c r="F143" s="267"/>
      <c r="G143" s="267"/>
      <c r="H143" s="267"/>
    </row>
    <row r="144" spans="1:10" x14ac:dyDescent="0.3">
      <c r="A144" s="245"/>
      <c r="B144" s="245"/>
      <c r="C144" s="245"/>
      <c r="D144" s="245"/>
      <c r="E144" s="245"/>
      <c r="F144" s="245"/>
      <c r="G144" s="245"/>
      <c r="H144" s="245"/>
    </row>
    <row r="145" spans="1:8" x14ac:dyDescent="0.3">
      <c r="A145" s="79"/>
      <c r="B145" s="79"/>
      <c r="C145" s="79"/>
      <c r="D145" s="79"/>
      <c r="E145" s="79"/>
      <c r="F145" s="79"/>
      <c r="G145" s="79"/>
      <c r="H145" s="79"/>
    </row>
    <row r="146" spans="1:8" customFormat="1" x14ac:dyDescent="0.3"/>
    <row r="147" spans="1:8" x14ac:dyDescent="0.3">
      <c r="A147" s="213" t="s">
        <v>499</v>
      </c>
      <c r="B147" s="214"/>
    </row>
    <row r="149" spans="1:8" ht="28.8" x14ac:dyDescent="0.3">
      <c r="A149" s="65" t="s">
        <v>727</v>
      </c>
      <c r="B149" s="137" t="s">
        <v>726</v>
      </c>
      <c r="C149" s="65" t="s">
        <v>500</v>
      </c>
      <c r="D149" s="65" t="s">
        <v>501</v>
      </c>
      <c r="E149" s="137" t="s">
        <v>725</v>
      </c>
    </row>
    <row r="150" spans="1:8" x14ac:dyDescent="0.3">
      <c r="A150" s="36" t="s">
        <v>372</v>
      </c>
      <c r="B150" s="49"/>
      <c r="C150" s="36" t="s">
        <v>519</v>
      </c>
      <c r="D150" s="49"/>
      <c r="E150" s="49"/>
    </row>
    <row r="151" spans="1:8" x14ac:dyDescent="0.3">
      <c r="A151" s="31" t="s">
        <v>373</v>
      </c>
      <c r="B151" s="32"/>
      <c r="C151" s="31" t="s">
        <v>519</v>
      </c>
      <c r="D151" s="32"/>
      <c r="E151" s="32"/>
    </row>
    <row r="152" spans="1:8" x14ac:dyDescent="0.3">
      <c r="A152" s="36" t="s">
        <v>502</v>
      </c>
      <c r="B152" s="49"/>
      <c r="C152" s="36" t="s">
        <v>519</v>
      </c>
      <c r="D152" s="49"/>
      <c r="E152" s="49"/>
    </row>
    <row r="153" spans="1:8" x14ac:dyDescent="0.3">
      <c r="A153" s="23"/>
      <c r="C153" s="23"/>
      <c r="D153" s="23"/>
    </row>
    <row r="154" spans="1:8" x14ac:dyDescent="0.3">
      <c r="A154" s="9" t="s">
        <v>532</v>
      </c>
      <c r="C154" s="15" t="s">
        <v>520</v>
      </c>
    </row>
    <row r="155" spans="1:8" x14ac:dyDescent="0.3">
      <c r="C155" s="26"/>
    </row>
    <row r="156" spans="1:8" x14ac:dyDescent="0.3">
      <c r="A156" s="9" t="s">
        <v>466</v>
      </c>
      <c r="B156" s="9"/>
    </row>
    <row r="158" spans="1:8" x14ac:dyDescent="0.3">
      <c r="A158" s="31" t="s">
        <v>374</v>
      </c>
      <c r="B158" s="257" t="s">
        <v>522</v>
      </c>
      <c r="C158" s="324"/>
      <c r="D158" s="324"/>
      <c r="E158" s="324"/>
      <c r="F158" s="324"/>
      <c r="G158" s="324"/>
      <c r="H158" s="325"/>
    </row>
    <row r="159" spans="1:8" x14ac:dyDescent="0.3">
      <c r="A159" s="31" t="s">
        <v>50</v>
      </c>
      <c r="B159" s="323"/>
      <c r="C159" s="326"/>
      <c r="D159" s="326"/>
      <c r="E159" s="326"/>
      <c r="F159" s="326"/>
      <c r="G159" s="326"/>
      <c r="H159" s="327"/>
    </row>
    <row r="160" spans="1:8" x14ac:dyDescent="0.3">
      <c r="A160" s="36" t="s">
        <v>68</v>
      </c>
      <c r="B160" s="323"/>
      <c r="C160" s="326"/>
      <c r="D160" s="326"/>
      <c r="E160" s="326"/>
      <c r="F160" s="326"/>
      <c r="G160" s="326"/>
      <c r="H160" s="327"/>
    </row>
    <row r="161" spans="1:8" x14ac:dyDescent="0.3">
      <c r="A161" s="328" t="s">
        <v>521</v>
      </c>
      <c r="B161" s="328"/>
      <c r="C161" s="323"/>
      <c r="D161" s="266"/>
      <c r="E161" s="266"/>
      <c r="F161" s="266"/>
      <c r="G161" s="266"/>
      <c r="H161" s="258"/>
    </row>
    <row r="163" spans="1:8" x14ac:dyDescent="0.3">
      <c r="A163" s="339" t="s">
        <v>533</v>
      </c>
      <c r="B163" s="339"/>
      <c r="C163" s="339"/>
      <c r="D163" s="339"/>
      <c r="E163" s="339"/>
      <c r="F163" s="339"/>
      <c r="G163" s="339"/>
      <c r="H163" s="339"/>
    </row>
    <row r="164" spans="1:8" x14ac:dyDescent="0.3">
      <c r="A164" s="23" t="s">
        <v>504</v>
      </c>
    </row>
    <row r="165" spans="1:8" x14ac:dyDescent="0.3">
      <c r="A165" s="332" t="s">
        <v>870</v>
      </c>
      <c r="B165" s="286"/>
      <c r="D165" s="332" t="s">
        <v>505</v>
      </c>
      <c r="E165" s="286"/>
    </row>
    <row r="166" spans="1:8" x14ac:dyDescent="0.3">
      <c r="A166" s="333"/>
      <c r="B166" s="287"/>
      <c r="D166" s="333"/>
      <c r="E166" s="287"/>
    </row>
    <row r="167" spans="1:8" x14ac:dyDescent="0.3">
      <c r="A167" s="334"/>
      <c r="B167" s="288"/>
      <c r="D167" s="334"/>
      <c r="E167" s="288"/>
    </row>
    <row r="168" spans="1:8" x14ac:dyDescent="0.3">
      <c r="A168" s="289" t="s">
        <v>746</v>
      </c>
      <c r="B168" s="292"/>
      <c r="D168" s="289" t="s">
        <v>405</v>
      </c>
      <c r="E168" s="292"/>
    </row>
    <row r="169" spans="1:8" x14ac:dyDescent="0.3">
      <c r="A169" s="290"/>
      <c r="B169" s="293"/>
      <c r="D169" s="290"/>
      <c r="E169" s="293"/>
    </row>
    <row r="170" spans="1:8" x14ac:dyDescent="0.3">
      <c r="A170" s="291"/>
      <c r="B170" s="294"/>
      <c r="D170" s="291"/>
      <c r="E170" s="294"/>
    </row>
    <row r="172" spans="1:8" customFormat="1" x14ac:dyDescent="0.3">
      <c r="A172" s="20" t="s">
        <v>509</v>
      </c>
      <c r="B172" s="2"/>
      <c r="C172" s="2"/>
      <c r="D172" s="2"/>
      <c r="E172" s="2"/>
      <c r="F172" s="2"/>
      <c r="G172" s="2"/>
      <c r="H172" s="2"/>
    </row>
    <row r="173" spans="1:8" x14ac:dyDescent="0.3">
      <c r="A173" s="267" t="s">
        <v>510</v>
      </c>
      <c r="B173" s="267"/>
      <c r="C173" s="267"/>
      <c r="D173" s="267"/>
      <c r="E173" s="267"/>
      <c r="F173" s="267"/>
      <c r="G173" s="267"/>
      <c r="H173" s="267"/>
    </row>
    <row r="174" spans="1:8" x14ac:dyDescent="0.3">
      <c r="A174" s="245"/>
      <c r="B174" s="245"/>
      <c r="C174" s="245"/>
      <c r="D174" s="245"/>
      <c r="E174" s="245"/>
      <c r="F174" s="245"/>
      <c r="G174" s="245"/>
      <c r="H174" s="245"/>
    </row>
    <row r="175" spans="1:8" customFormat="1" x14ac:dyDescent="0.3"/>
    <row r="176" spans="1:8" x14ac:dyDescent="0.3">
      <c r="A176" s="9" t="s">
        <v>456</v>
      </c>
      <c r="B176" s="9"/>
    </row>
    <row r="178" spans="1:6" x14ac:dyDescent="0.3">
      <c r="A178" s="37" t="s">
        <v>377</v>
      </c>
      <c r="B178" s="28"/>
      <c r="C178" s="28"/>
      <c r="D178" s="28"/>
      <c r="E178" s="29"/>
      <c r="F178" s="32"/>
    </row>
    <row r="179" spans="1:6" x14ac:dyDescent="0.3">
      <c r="A179" s="37" t="s">
        <v>467</v>
      </c>
      <c r="B179" s="28"/>
      <c r="C179" s="28"/>
      <c r="D179" s="28"/>
      <c r="E179" s="29"/>
      <c r="F179" s="32"/>
    </row>
    <row r="180" spans="1:6" x14ac:dyDescent="0.3">
      <c r="A180" s="37" t="s">
        <v>381</v>
      </c>
      <c r="B180" s="28"/>
      <c r="C180" s="28"/>
      <c r="D180" s="28"/>
      <c r="E180" s="29"/>
      <c r="F180" s="32"/>
    </row>
    <row r="181" spans="1:6" x14ac:dyDescent="0.3">
      <c r="A181" s="37" t="s">
        <v>469</v>
      </c>
      <c r="B181" s="28"/>
      <c r="C181" s="28"/>
      <c r="D181" s="28"/>
      <c r="E181" s="29"/>
      <c r="F181" s="32"/>
    </row>
    <row r="182" spans="1:6" x14ac:dyDescent="0.3">
      <c r="A182" s="37" t="s">
        <v>468</v>
      </c>
      <c r="B182" s="28"/>
      <c r="C182" s="28"/>
      <c r="D182" s="28"/>
      <c r="E182" s="29"/>
      <c r="F182" s="32"/>
    </row>
    <row r="183" spans="1:6" x14ac:dyDescent="0.3">
      <c r="A183" s="37" t="s">
        <v>378</v>
      </c>
      <c r="B183" s="28"/>
      <c r="C183" s="28"/>
      <c r="D183" s="28"/>
      <c r="E183" s="29"/>
      <c r="F183" s="32"/>
    </row>
    <row r="184" spans="1:6" x14ac:dyDescent="0.3">
      <c r="A184" s="37" t="s">
        <v>382</v>
      </c>
      <c r="B184" s="28"/>
      <c r="C184" s="28"/>
      <c r="D184" s="28"/>
      <c r="E184" s="29"/>
      <c r="F184" s="32"/>
    </row>
    <row r="185" spans="1:6" x14ac:dyDescent="0.3">
      <c r="A185" s="37" t="s">
        <v>383</v>
      </c>
      <c r="B185" s="28"/>
      <c r="C185" s="28"/>
      <c r="D185" s="28"/>
      <c r="E185" s="29"/>
      <c r="F185" s="32"/>
    </row>
    <row r="186" spans="1:6" x14ac:dyDescent="0.3">
      <c r="A186" s="37" t="s">
        <v>470</v>
      </c>
      <c r="B186" s="28"/>
      <c r="C186" s="28"/>
      <c r="D186" s="28"/>
      <c r="E186" s="29"/>
      <c r="F186" s="32"/>
    </row>
    <row r="187" spans="1:6" x14ac:dyDescent="0.3">
      <c r="A187" s="37" t="s">
        <v>379</v>
      </c>
      <c r="B187" s="28"/>
      <c r="C187" s="28"/>
      <c r="D187" s="28"/>
      <c r="E187" s="29"/>
      <c r="F187" s="32"/>
    </row>
    <row r="188" spans="1:6" x14ac:dyDescent="0.3">
      <c r="A188" s="37" t="s">
        <v>471</v>
      </c>
      <c r="B188" s="28"/>
      <c r="C188" s="28"/>
      <c r="D188" s="28"/>
      <c r="E188" s="29"/>
      <c r="F188" s="32"/>
    </row>
    <row r="189" spans="1:6" x14ac:dyDescent="0.3">
      <c r="A189" s="39" t="s">
        <v>380</v>
      </c>
      <c r="B189" s="50"/>
      <c r="C189" s="50"/>
      <c r="D189" s="50"/>
      <c r="E189" s="48"/>
      <c r="F189" s="32"/>
    </row>
    <row r="190" spans="1:6" x14ac:dyDescent="0.3">
      <c r="A190" s="58"/>
      <c r="B190" s="52"/>
      <c r="C190" s="52"/>
      <c r="D190" s="52"/>
      <c r="E190" s="52"/>
      <c r="F190" s="52"/>
    </row>
    <row r="191" spans="1:6" x14ac:dyDescent="0.3">
      <c r="A191" s="58"/>
      <c r="B191" s="52"/>
      <c r="C191" s="52"/>
      <c r="D191" s="52"/>
      <c r="E191" s="52"/>
      <c r="F191" s="52"/>
    </row>
    <row r="192" spans="1:6" x14ac:dyDescent="0.3">
      <c r="A192" s="58"/>
      <c r="B192" s="52"/>
      <c r="C192" s="52"/>
      <c r="D192" s="52"/>
      <c r="E192" s="52"/>
      <c r="F192" s="52"/>
    </row>
    <row r="193" spans="1:8" x14ac:dyDescent="0.3">
      <c r="A193" s="58"/>
      <c r="B193" s="52"/>
      <c r="C193" s="52"/>
      <c r="D193" s="52"/>
      <c r="E193" s="52"/>
      <c r="F193" s="52"/>
    </row>
    <row r="194" spans="1:8" x14ac:dyDescent="0.3">
      <c r="A194" s="58"/>
      <c r="B194" s="52"/>
      <c r="C194" s="52"/>
      <c r="D194" s="52"/>
      <c r="E194" s="52"/>
      <c r="F194" s="52"/>
    </row>
    <row r="196" spans="1:8" x14ac:dyDescent="0.3">
      <c r="A196" s="20" t="s">
        <v>57</v>
      </c>
    </row>
    <row r="197" spans="1:8" x14ac:dyDescent="0.3">
      <c r="A197" s="267"/>
      <c r="B197" s="267"/>
      <c r="C197" s="267"/>
      <c r="D197" s="267"/>
      <c r="E197" s="267"/>
      <c r="F197" s="267"/>
      <c r="G197" s="267"/>
      <c r="H197" s="267"/>
    </row>
    <row r="198" spans="1:8" x14ac:dyDescent="0.3">
      <c r="A198" s="245"/>
      <c r="B198" s="245"/>
      <c r="C198" s="245"/>
      <c r="D198" s="245"/>
      <c r="E198" s="245"/>
      <c r="F198" s="245"/>
      <c r="G198" s="245"/>
      <c r="H198" s="245"/>
    </row>
    <row r="199" spans="1:8" x14ac:dyDescent="0.3">
      <c r="A199" s="245"/>
      <c r="B199" s="245"/>
      <c r="C199" s="245"/>
      <c r="D199" s="245"/>
      <c r="E199" s="245"/>
      <c r="F199" s="245"/>
      <c r="G199" s="245"/>
      <c r="H199" s="245"/>
    </row>
    <row r="201" spans="1:8" x14ac:dyDescent="0.3">
      <c r="A201" s="9" t="s">
        <v>457</v>
      </c>
    </row>
    <row r="202" spans="1:8" x14ac:dyDescent="0.3">
      <c r="A202"/>
      <c r="F202" s="60" t="s">
        <v>396</v>
      </c>
      <c r="G202" s="55"/>
    </row>
    <row r="203" spans="1:8" x14ac:dyDescent="0.3">
      <c r="A203" s="37" t="s">
        <v>385</v>
      </c>
      <c r="B203" s="28"/>
      <c r="C203" s="28"/>
      <c r="D203" s="28"/>
      <c r="E203" s="29"/>
      <c r="F203" s="56"/>
      <c r="G203" s="56"/>
    </row>
    <row r="204" spans="1:8" x14ac:dyDescent="0.3">
      <c r="A204" s="37" t="s">
        <v>386</v>
      </c>
      <c r="B204" s="28"/>
      <c r="C204" s="28"/>
      <c r="D204" s="28"/>
      <c r="E204" s="29"/>
      <c r="F204" s="56"/>
      <c r="G204" s="56"/>
    </row>
    <row r="205" spans="1:8" x14ac:dyDescent="0.3">
      <c r="A205" s="37" t="s">
        <v>387</v>
      </c>
      <c r="B205" s="28"/>
      <c r="C205" s="28"/>
      <c r="D205" s="28"/>
      <c r="E205" s="29"/>
      <c r="F205" s="319" t="s">
        <v>397</v>
      </c>
      <c r="G205" s="320"/>
    </row>
    <row r="206" spans="1:8" x14ac:dyDescent="0.3">
      <c r="A206" s="37" t="s">
        <v>391</v>
      </c>
      <c r="B206" s="28"/>
      <c r="C206" s="28"/>
      <c r="D206" s="28"/>
      <c r="E206" s="29"/>
      <c r="F206" s="319" t="s">
        <v>398</v>
      </c>
      <c r="G206" s="320"/>
    </row>
    <row r="207" spans="1:8" x14ac:dyDescent="0.3">
      <c r="A207" s="37" t="s">
        <v>392</v>
      </c>
      <c r="B207" s="28"/>
      <c r="C207" s="28"/>
      <c r="D207" s="28"/>
      <c r="E207" s="29"/>
      <c r="F207" s="319" t="s">
        <v>375</v>
      </c>
      <c r="G207" s="320"/>
    </row>
    <row r="208" spans="1:8" x14ac:dyDescent="0.3">
      <c r="A208" s="37" t="s">
        <v>395</v>
      </c>
      <c r="B208" s="28"/>
      <c r="C208" s="28"/>
      <c r="D208" s="28"/>
      <c r="E208" s="29"/>
      <c r="F208" s="319" t="s">
        <v>399</v>
      </c>
      <c r="G208" s="320"/>
    </row>
    <row r="209" spans="1:8" x14ac:dyDescent="0.3">
      <c r="A209" s="37" t="s">
        <v>393</v>
      </c>
      <c r="B209" s="28"/>
      <c r="C209" s="28"/>
      <c r="D209" s="28"/>
      <c r="E209" s="29"/>
      <c r="F209" s="319" t="s">
        <v>400</v>
      </c>
      <c r="G209" s="320"/>
    </row>
    <row r="210" spans="1:8" x14ac:dyDescent="0.3">
      <c r="A210" s="37" t="s">
        <v>472</v>
      </c>
      <c r="B210" s="28"/>
      <c r="C210" s="28"/>
      <c r="D210" s="28"/>
      <c r="E210" s="29"/>
      <c r="F210" s="319" t="s">
        <v>401</v>
      </c>
      <c r="G210" s="320"/>
    </row>
    <row r="211" spans="1:8" x14ac:dyDescent="0.3">
      <c r="A211" s="37" t="s">
        <v>473</v>
      </c>
      <c r="B211" s="28"/>
      <c r="C211" s="28"/>
      <c r="D211" s="28"/>
      <c r="E211" s="29"/>
      <c r="F211" s="319" t="s">
        <v>402</v>
      </c>
      <c r="G211" s="320"/>
    </row>
    <row r="212" spans="1:8" x14ac:dyDescent="0.3">
      <c r="A212" s="37" t="s">
        <v>474</v>
      </c>
      <c r="B212" s="28"/>
      <c r="C212" s="28"/>
      <c r="D212" s="28"/>
      <c r="E212" s="29"/>
      <c r="F212" s="319" t="s">
        <v>403</v>
      </c>
      <c r="G212" s="320"/>
    </row>
    <row r="213" spans="1:8" x14ac:dyDescent="0.3">
      <c r="A213" s="37" t="s">
        <v>388</v>
      </c>
      <c r="B213" s="28"/>
      <c r="C213" s="28"/>
      <c r="D213" s="28"/>
      <c r="E213" s="29"/>
      <c r="F213" s="319" t="s">
        <v>540</v>
      </c>
      <c r="G213" s="320"/>
    </row>
    <row r="214" spans="1:8" x14ac:dyDescent="0.3">
      <c r="A214" s="37" t="s">
        <v>389</v>
      </c>
      <c r="B214" s="28"/>
      <c r="C214" s="28"/>
      <c r="D214" s="28"/>
      <c r="E214" s="29"/>
      <c r="F214" s="321"/>
      <c r="G214" s="322"/>
    </row>
    <row r="215" spans="1:8" x14ac:dyDescent="0.3">
      <c r="A215" s="37" t="s">
        <v>390</v>
      </c>
      <c r="B215" s="28"/>
      <c r="C215" s="28"/>
      <c r="D215" s="28"/>
      <c r="E215" s="29"/>
      <c r="F215" s="321"/>
      <c r="G215" s="322"/>
    </row>
    <row r="216" spans="1:8" x14ac:dyDescent="0.3">
      <c r="A216" s="39" t="s">
        <v>394</v>
      </c>
      <c r="B216" s="50"/>
      <c r="C216" s="50"/>
      <c r="D216" s="50"/>
      <c r="E216" s="48"/>
      <c r="F216" s="319" t="s">
        <v>506</v>
      </c>
      <c r="G216" s="320"/>
    </row>
    <row r="218" spans="1:8" x14ac:dyDescent="0.3">
      <c r="A218" s="20" t="s">
        <v>507</v>
      </c>
    </row>
    <row r="219" spans="1:8" x14ac:dyDescent="0.3">
      <c r="A219" s="267"/>
      <c r="B219" s="267"/>
      <c r="C219" s="267"/>
      <c r="D219" s="267"/>
      <c r="E219" s="267"/>
      <c r="F219" s="267"/>
      <c r="G219" s="267"/>
      <c r="H219" s="267"/>
    </row>
    <row r="220" spans="1:8" x14ac:dyDescent="0.3">
      <c r="A220" s="245"/>
      <c r="B220" s="245"/>
      <c r="C220" s="245"/>
      <c r="D220" s="245"/>
      <c r="E220" s="245"/>
      <c r="F220" s="245"/>
      <c r="G220" s="245"/>
      <c r="H220" s="245"/>
    </row>
    <row r="221" spans="1:8" x14ac:dyDescent="0.3">
      <c r="A221" s="245"/>
      <c r="B221" s="245"/>
      <c r="C221" s="245"/>
      <c r="D221" s="245"/>
      <c r="E221" s="245"/>
      <c r="F221" s="245"/>
      <c r="G221" s="245"/>
      <c r="H221" s="245"/>
    </row>
    <row r="222" spans="1:8" customFormat="1" x14ac:dyDescent="0.3"/>
    <row r="223" spans="1:8" x14ac:dyDescent="0.3">
      <c r="A223"/>
      <c r="B223"/>
      <c r="C223" s="296" t="s">
        <v>534</v>
      </c>
      <c r="D223" s="297"/>
      <c r="E223" s="298" t="s">
        <v>543</v>
      </c>
      <c r="F223" s="299"/>
    </row>
    <row r="224" spans="1:8" x14ac:dyDescent="0.3">
      <c r="A224" s="40" t="s">
        <v>542</v>
      </c>
      <c r="B224" s="57"/>
      <c r="C224" s="257"/>
      <c r="D224" s="266"/>
      <c r="E224" s="335"/>
      <c r="F224" s="299"/>
    </row>
    <row r="225" spans="1:8" x14ac:dyDescent="0.3">
      <c r="A225" s="40" t="s">
        <v>541</v>
      </c>
      <c r="B225" s="51"/>
      <c r="C225" s="257"/>
      <c r="D225" s="266"/>
      <c r="E225" s="336"/>
      <c r="F225" s="337"/>
    </row>
    <row r="226" spans="1:8" x14ac:dyDescent="0.3">
      <c r="A226" s="213"/>
      <c r="B226" s="214"/>
      <c r="C226" s="214"/>
    </row>
    <row r="227" spans="1:8" x14ac:dyDescent="0.3">
      <c r="A227" s="215" t="s">
        <v>475</v>
      </c>
      <c r="B227" s="215"/>
      <c r="C227" s="215"/>
      <c r="D227" s="215"/>
    </row>
    <row r="228" spans="1:8" x14ac:dyDescent="0.3">
      <c r="A228" s="267"/>
      <c r="B228" s="267"/>
      <c r="C228" s="267"/>
      <c r="D228" s="267"/>
      <c r="E228" s="267"/>
      <c r="F228" s="267"/>
      <c r="G228" s="267"/>
      <c r="H228" s="267"/>
    </row>
    <row r="229" spans="1:8" x14ac:dyDescent="0.3">
      <c r="A229" s="245"/>
      <c r="B229" s="245"/>
      <c r="C229" s="245"/>
      <c r="D229" s="245"/>
      <c r="E229" s="245"/>
      <c r="F229" s="245"/>
      <c r="G229" s="245"/>
      <c r="H229" s="245"/>
    </row>
    <row r="230" spans="1:8" x14ac:dyDescent="0.3">
      <c r="A230" s="22"/>
      <c r="B230" s="22"/>
      <c r="C230" s="22"/>
      <c r="D230" s="22"/>
      <c r="E230" s="22"/>
      <c r="F230" s="22"/>
      <c r="G230" s="22"/>
      <c r="H230" s="22"/>
    </row>
    <row r="231" spans="1:8" x14ac:dyDescent="0.3">
      <c r="A231" s="215" t="s">
        <v>608</v>
      </c>
      <c r="B231" s="215"/>
      <c r="C231" s="215"/>
      <c r="D231" s="215"/>
    </row>
    <row r="232" spans="1:8" x14ac:dyDescent="0.3">
      <c r="A232" s="267"/>
      <c r="B232" s="267"/>
      <c r="C232" s="267"/>
      <c r="D232" s="267"/>
      <c r="E232" s="267"/>
      <c r="F232" s="267"/>
      <c r="G232" s="267"/>
      <c r="H232" s="267"/>
    </row>
    <row r="233" spans="1:8" x14ac:dyDescent="0.3">
      <c r="A233" s="245"/>
      <c r="B233" s="245"/>
      <c r="C233" s="245"/>
      <c r="D233" s="245"/>
      <c r="E233" s="245"/>
      <c r="F233" s="245"/>
      <c r="G233" s="245"/>
      <c r="H233" s="245"/>
    </row>
    <row r="234" spans="1:8" x14ac:dyDescent="0.3">
      <c r="A234" s="22"/>
      <c r="B234" s="22"/>
      <c r="C234" s="22"/>
      <c r="D234" s="22"/>
      <c r="E234" s="22"/>
      <c r="F234" s="22"/>
      <c r="G234" s="22"/>
      <c r="H234" s="22"/>
    </row>
    <row r="235" spans="1:8" x14ac:dyDescent="0.3">
      <c r="A235" s="215" t="s">
        <v>609</v>
      </c>
      <c r="B235" s="215"/>
      <c r="C235" s="215"/>
      <c r="D235" s="215"/>
      <c r="E235" s="22"/>
      <c r="F235" s="22"/>
      <c r="G235" s="22"/>
      <c r="H235" s="22"/>
    </row>
    <row r="236" spans="1:8" x14ac:dyDescent="0.3">
      <c r="A236" s="213" t="s">
        <v>610</v>
      </c>
      <c r="B236" s="213"/>
      <c r="C236" s="213"/>
      <c r="D236" s="213"/>
      <c r="E236" s="22"/>
      <c r="F236" s="22"/>
      <c r="G236" s="22"/>
      <c r="H236" s="22"/>
    </row>
    <row r="237" spans="1:8" x14ac:dyDescent="0.3">
      <c r="A237" s="267"/>
      <c r="B237" s="267"/>
      <c r="C237" s="267"/>
      <c r="D237" s="267"/>
      <c r="E237" s="267"/>
      <c r="F237" s="267"/>
      <c r="G237" s="267"/>
      <c r="H237" s="267"/>
    </row>
    <row r="238" spans="1:8" x14ac:dyDescent="0.3">
      <c r="A238" s="245"/>
      <c r="B238" s="245"/>
      <c r="C238" s="245"/>
      <c r="D238" s="245"/>
      <c r="E238" s="245"/>
      <c r="F238" s="245"/>
      <c r="G238" s="245"/>
      <c r="H238" s="245"/>
    </row>
    <row r="239" spans="1:8" x14ac:dyDescent="0.3">
      <c r="A239" s="83"/>
      <c r="B239" s="83"/>
      <c r="C239" s="83"/>
      <c r="D239" s="83"/>
      <c r="E239" s="83"/>
      <c r="F239" s="83"/>
      <c r="G239" s="83"/>
      <c r="H239" s="83"/>
    </row>
    <row r="240" spans="1:8" x14ac:dyDescent="0.3">
      <c r="A240" s="83"/>
      <c r="B240" s="83"/>
      <c r="C240" s="83"/>
      <c r="D240" s="83"/>
      <c r="E240" s="83"/>
      <c r="F240" s="83"/>
      <c r="G240" s="83"/>
      <c r="H240" s="83"/>
    </row>
    <row r="241" spans="1:8" x14ac:dyDescent="0.3">
      <c r="A241" s="83"/>
      <c r="B241" s="83"/>
      <c r="C241" s="83"/>
      <c r="D241" s="83"/>
      <c r="E241" s="83"/>
      <c r="F241" s="83"/>
      <c r="G241" s="83"/>
      <c r="H241" s="83"/>
    </row>
    <row r="242" spans="1:8" x14ac:dyDescent="0.3">
      <c r="A242" s="84"/>
      <c r="B242" s="84"/>
      <c r="C242" s="84"/>
      <c r="D242" s="84"/>
      <c r="E242" s="84"/>
      <c r="F242" s="84"/>
      <c r="G242" s="84"/>
      <c r="H242" s="84"/>
    </row>
    <row r="243" spans="1:8" x14ac:dyDescent="0.3">
      <c r="A243" s="22"/>
      <c r="B243" s="22"/>
      <c r="C243" s="22"/>
      <c r="D243" s="22"/>
      <c r="E243" s="22"/>
      <c r="F243" s="22"/>
      <c r="G243" s="22"/>
      <c r="H243" s="22"/>
    </row>
    <row r="244" spans="1:8" x14ac:dyDescent="0.3">
      <c r="A244" s="213" t="s">
        <v>603</v>
      </c>
      <c r="B244" s="214"/>
      <c r="C244" s="214"/>
      <c r="D244" s="214"/>
    </row>
    <row r="245" spans="1:8" x14ac:dyDescent="0.3">
      <c r="A245"/>
    </row>
    <row r="246" spans="1:8" x14ac:dyDescent="0.3">
      <c r="A246" s="30" t="s">
        <v>407</v>
      </c>
      <c r="B246" s="47"/>
      <c r="C246" s="26"/>
    </row>
    <row r="247" spans="1:8" x14ac:dyDescent="0.3">
      <c r="A247" s="39" t="s">
        <v>523</v>
      </c>
      <c r="B247" s="48"/>
      <c r="C247" s="26"/>
    </row>
    <row r="249" spans="1:8" x14ac:dyDescent="0.3">
      <c r="A249" s="257" t="s">
        <v>544</v>
      </c>
      <c r="B249" s="295"/>
      <c r="C249" s="295"/>
      <c r="D249" s="271"/>
      <c r="E249" s="26"/>
      <c r="F249" s="37" t="s">
        <v>526</v>
      </c>
      <c r="G249" s="26"/>
    </row>
    <row r="251" spans="1:8" x14ac:dyDescent="0.3">
      <c r="A251" s="9" t="s">
        <v>604</v>
      </c>
    </row>
    <row r="252" spans="1:8" x14ac:dyDescent="0.3">
      <c r="A252"/>
      <c r="F252" s="30" t="s">
        <v>525</v>
      </c>
      <c r="G252" s="66"/>
      <c r="H252" s="47"/>
    </row>
    <row r="253" spans="1:8" x14ac:dyDescent="0.3">
      <c r="A253" s="37" t="s">
        <v>412</v>
      </c>
      <c r="B253" s="28"/>
      <c r="C253" s="29"/>
      <c r="D253" s="26"/>
      <c r="F253" s="272"/>
      <c r="G253" s="273"/>
      <c r="H253" s="274"/>
    </row>
    <row r="254" spans="1:8" x14ac:dyDescent="0.3">
      <c r="A254" s="37" t="s">
        <v>478</v>
      </c>
      <c r="B254" s="28"/>
      <c r="C254" s="29"/>
      <c r="D254" s="26"/>
      <c r="F254" s="275"/>
      <c r="G254" s="276"/>
      <c r="H254" s="277"/>
    </row>
    <row r="255" spans="1:8" x14ac:dyDescent="0.3">
      <c r="A255" s="37" t="s">
        <v>479</v>
      </c>
      <c r="B255" s="28"/>
      <c r="C255" s="29"/>
      <c r="D255" s="26"/>
      <c r="F255" s="275"/>
      <c r="G255" s="276"/>
      <c r="H255" s="277"/>
    </row>
    <row r="256" spans="1:8" x14ac:dyDescent="0.3">
      <c r="A256" s="37" t="s">
        <v>476</v>
      </c>
      <c r="B256" s="28"/>
      <c r="C256" s="29"/>
      <c r="D256" s="26"/>
      <c r="F256" s="275"/>
      <c r="G256" s="276"/>
      <c r="H256" s="277"/>
    </row>
    <row r="257" spans="1:8" x14ac:dyDescent="0.3">
      <c r="A257" s="39" t="s">
        <v>477</v>
      </c>
      <c r="B257" s="50"/>
      <c r="C257" s="48"/>
      <c r="D257" s="26"/>
      <c r="F257" s="278"/>
      <c r="G257" s="279"/>
      <c r="H257" s="280"/>
    </row>
    <row r="258" spans="1:8" x14ac:dyDescent="0.3">
      <c r="A258" s="58"/>
      <c r="B258" s="52"/>
      <c r="C258" s="52"/>
      <c r="F258" s="77"/>
      <c r="G258" s="77"/>
      <c r="H258" s="77"/>
    </row>
    <row r="259" spans="1:8" x14ac:dyDescent="0.3">
      <c r="A259" s="58"/>
      <c r="B259" s="52"/>
      <c r="C259" s="52"/>
      <c r="F259" s="77"/>
      <c r="G259" s="77"/>
      <c r="H259" s="77"/>
    </row>
    <row r="260" spans="1:8" x14ac:dyDescent="0.3">
      <c r="A260" s="268" t="s">
        <v>57</v>
      </c>
      <c r="B260" s="214"/>
    </row>
    <row r="261" spans="1:8" x14ac:dyDescent="0.3">
      <c r="A261" s="267"/>
      <c r="B261" s="267"/>
      <c r="C261" s="267"/>
      <c r="D261" s="267"/>
      <c r="E261" s="267"/>
      <c r="F261" s="267"/>
      <c r="G261" s="267"/>
      <c r="H261" s="267"/>
    </row>
    <row r="262" spans="1:8" x14ac:dyDescent="0.3">
      <c r="A262" s="245"/>
      <c r="B262" s="245"/>
      <c r="C262" s="245"/>
      <c r="D262" s="245"/>
      <c r="E262" s="245"/>
      <c r="F262" s="245"/>
      <c r="G262" s="245"/>
      <c r="H262" s="245"/>
    </row>
    <row r="263" spans="1:8" x14ac:dyDescent="0.3">
      <c r="A263" s="245"/>
      <c r="B263" s="245"/>
      <c r="C263" s="245"/>
      <c r="D263" s="245"/>
      <c r="E263" s="245"/>
      <c r="F263" s="245"/>
      <c r="G263" s="245"/>
      <c r="H263" s="245"/>
    </row>
    <row r="265" spans="1:8" x14ac:dyDescent="0.3">
      <c r="A265" s="9" t="s">
        <v>605</v>
      </c>
    </row>
    <row r="267" spans="1:8" x14ac:dyDescent="0.3">
      <c r="A267" s="37" t="s">
        <v>413</v>
      </c>
      <c r="B267" s="29"/>
      <c r="C267" s="26"/>
    </row>
    <row r="268" spans="1:8" x14ac:dyDescent="0.3">
      <c r="A268" s="37" t="s">
        <v>414</v>
      </c>
      <c r="B268" s="29"/>
      <c r="C268" s="26"/>
    </row>
    <row r="269" spans="1:8" x14ac:dyDescent="0.3">
      <c r="A269" s="37" t="s">
        <v>415</v>
      </c>
      <c r="B269" s="29"/>
      <c r="C269" s="26"/>
    </row>
    <row r="270" spans="1:8" x14ac:dyDescent="0.3">
      <c r="A270" s="39" t="s">
        <v>416</v>
      </c>
      <c r="B270" s="48"/>
      <c r="C270" s="26"/>
    </row>
    <row r="271" spans="1:8" x14ac:dyDescent="0.3">
      <c r="A271" s="58"/>
      <c r="B271" s="52"/>
    </row>
    <row r="272" spans="1:8" x14ac:dyDescent="0.3">
      <c r="A272" s="9" t="s">
        <v>606</v>
      </c>
    </row>
    <row r="274" spans="1:8" x14ac:dyDescent="0.3">
      <c r="A274" s="37" t="s">
        <v>417</v>
      </c>
      <c r="B274" s="29"/>
      <c r="C274" s="26"/>
    </row>
    <row r="275" spans="1:8" x14ac:dyDescent="0.3">
      <c r="A275" s="39" t="s">
        <v>418</v>
      </c>
      <c r="B275" s="48"/>
      <c r="C275" s="26"/>
    </row>
    <row r="276" spans="1:8" x14ac:dyDescent="0.3">
      <c r="A276" s="58"/>
      <c r="B276" s="52"/>
    </row>
    <row r="277" spans="1:8" x14ac:dyDescent="0.3">
      <c r="A277" s="20" t="s">
        <v>406</v>
      </c>
    </row>
    <row r="278" spans="1:8" x14ac:dyDescent="0.3">
      <c r="A278" s="267"/>
      <c r="B278" s="267"/>
      <c r="C278" s="267"/>
      <c r="D278" s="267"/>
      <c r="E278" s="267"/>
      <c r="F278" s="267"/>
      <c r="G278" s="267"/>
      <c r="H278" s="267"/>
    </row>
    <row r="279" spans="1:8" x14ac:dyDescent="0.3">
      <c r="A279" s="245"/>
      <c r="B279" s="245"/>
      <c r="C279" s="245"/>
      <c r="D279" s="245"/>
      <c r="E279" s="245"/>
      <c r="F279" s="245"/>
      <c r="G279" s="245"/>
      <c r="H279" s="245"/>
    </row>
    <row r="280" spans="1:8" x14ac:dyDescent="0.3">
      <c r="A280" s="269"/>
      <c r="B280" s="269"/>
      <c r="C280" s="269"/>
      <c r="D280" s="269"/>
      <c r="E280" s="269"/>
      <c r="F280" s="269"/>
      <c r="G280" s="269"/>
      <c r="H280" s="269"/>
    </row>
    <row r="282" spans="1:8" x14ac:dyDescent="0.3">
      <c r="A282" s="9" t="s">
        <v>420</v>
      </c>
    </row>
    <row r="283" spans="1:8" x14ac:dyDescent="0.3">
      <c r="A283" s="267"/>
      <c r="B283" s="267"/>
      <c r="C283" s="267"/>
      <c r="D283" s="267"/>
      <c r="E283" s="267"/>
      <c r="F283" s="267"/>
      <c r="G283" s="267"/>
      <c r="H283" s="267"/>
    </row>
    <row r="284" spans="1:8" x14ac:dyDescent="0.3">
      <c r="A284" s="245"/>
      <c r="B284" s="245"/>
      <c r="C284" s="245"/>
      <c r="D284" s="245"/>
      <c r="E284" s="245"/>
      <c r="F284" s="245"/>
      <c r="G284" s="245"/>
      <c r="H284" s="245"/>
    </row>
    <row r="285" spans="1:8" x14ac:dyDescent="0.3">
      <c r="A285" s="245"/>
      <c r="B285" s="245"/>
      <c r="C285" s="245"/>
      <c r="D285" s="245"/>
      <c r="E285" s="245"/>
      <c r="F285" s="245"/>
      <c r="G285" s="245"/>
      <c r="H285" s="245"/>
    </row>
    <row r="287" spans="1:8" x14ac:dyDescent="0.3">
      <c r="A287" s="9" t="s">
        <v>419</v>
      </c>
    </row>
    <row r="288" spans="1:8" x14ac:dyDescent="0.3">
      <c r="A288" s="267"/>
      <c r="B288" s="267"/>
      <c r="C288" s="267"/>
      <c r="D288" s="267"/>
      <c r="E288" s="267"/>
      <c r="F288" s="267"/>
      <c r="G288" s="267"/>
      <c r="H288" s="267"/>
    </row>
    <row r="289" spans="1:8" x14ac:dyDescent="0.3">
      <c r="A289" s="245"/>
      <c r="B289" s="245"/>
      <c r="C289" s="245"/>
      <c r="D289" s="245"/>
      <c r="E289" s="245"/>
      <c r="F289" s="245"/>
      <c r="G289" s="245"/>
      <c r="H289" s="245"/>
    </row>
    <row r="291" spans="1:8" x14ac:dyDescent="0.3">
      <c r="A291" s="9" t="s">
        <v>421</v>
      </c>
    </row>
    <row r="292" spans="1:8" x14ac:dyDescent="0.3">
      <c r="A292" s="267"/>
      <c r="B292" s="267"/>
      <c r="C292" s="267"/>
      <c r="D292" s="267"/>
      <c r="E292" s="267"/>
      <c r="F292" s="267"/>
      <c r="G292" s="267"/>
      <c r="H292" s="267"/>
    </row>
    <row r="293" spans="1:8" x14ac:dyDescent="0.3">
      <c r="A293" s="245"/>
      <c r="B293" s="245"/>
      <c r="C293" s="245"/>
      <c r="D293" s="245"/>
      <c r="E293" s="245"/>
      <c r="F293" s="245"/>
      <c r="G293" s="245"/>
      <c r="H293" s="245"/>
    </row>
    <row r="295" spans="1:8" x14ac:dyDescent="0.3">
      <c r="A295" s="9" t="s">
        <v>607</v>
      </c>
    </row>
    <row r="297" spans="1:8" x14ac:dyDescent="0.3">
      <c r="A297" s="35" t="s">
        <v>422</v>
      </c>
      <c r="B297" s="26"/>
    </row>
    <row r="298" spans="1:8" x14ac:dyDescent="0.3">
      <c r="A298" s="33" t="s">
        <v>423</v>
      </c>
      <c r="B298" s="26"/>
    </row>
    <row r="299" spans="1:8" x14ac:dyDescent="0.3">
      <c r="A299" s="33" t="s">
        <v>424</v>
      </c>
      <c r="B299" s="26"/>
    </row>
    <row r="300" spans="1:8" x14ac:dyDescent="0.3">
      <c r="A300" s="33" t="s">
        <v>425</v>
      </c>
      <c r="B300" s="25"/>
    </row>
    <row r="301" spans="1:8" x14ac:dyDescent="0.3">
      <c r="A301" s="44" t="s">
        <v>426</v>
      </c>
      <c r="B301" s="26"/>
    </row>
    <row r="303" spans="1:8" x14ac:dyDescent="0.3">
      <c r="A303" s="257" t="s">
        <v>427</v>
      </c>
      <c r="B303" s="271"/>
      <c r="C303" s="26"/>
    </row>
    <row r="304" spans="1:8" x14ac:dyDescent="0.3">
      <c r="A304" s="58"/>
      <c r="B304" s="78"/>
    </row>
    <row r="305" spans="1:8" x14ac:dyDescent="0.3">
      <c r="A305" s="58"/>
      <c r="B305" s="78"/>
    </row>
    <row r="306" spans="1:8" x14ac:dyDescent="0.3">
      <c r="A306" s="268" t="s">
        <v>57</v>
      </c>
      <c r="B306" s="214"/>
    </row>
    <row r="307" spans="1:8" x14ac:dyDescent="0.3">
      <c r="A307" s="267"/>
      <c r="B307" s="267"/>
      <c r="C307" s="267"/>
      <c r="D307" s="267"/>
      <c r="E307" s="267"/>
      <c r="F307" s="267"/>
      <c r="G307" s="267"/>
      <c r="H307" s="267"/>
    </row>
    <row r="308" spans="1:8" x14ac:dyDescent="0.3">
      <c r="A308" s="245"/>
      <c r="B308" s="245"/>
      <c r="C308" s="245"/>
      <c r="D308" s="245"/>
      <c r="E308" s="245"/>
      <c r="F308" s="245"/>
      <c r="G308" s="245"/>
      <c r="H308" s="245"/>
    </row>
    <row r="309" spans="1:8" x14ac:dyDescent="0.3">
      <c r="A309" s="245"/>
      <c r="B309" s="245"/>
      <c r="C309" s="245"/>
      <c r="D309" s="245"/>
      <c r="E309" s="245"/>
      <c r="F309" s="245"/>
      <c r="G309" s="245"/>
      <c r="H309" s="245"/>
    </row>
    <row r="311" spans="1:8" x14ac:dyDescent="0.3">
      <c r="A311" s="9" t="s">
        <v>458</v>
      </c>
    </row>
    <row r="312" spans="1:8" x14ac:dyDescent="0.3">
      <c r="A312" s="213" t="s">
        <v>429</v>
      </c>
      <c r="B312" s="214"/>
      <c r="C312" s="214"/>
      <c r="D312" s="214"/>
      <c r="E312" s="214"/>
      <c r="F312" s="214"/>
    </row>
    <row r="313" spans="1:8" x14ac:dyDescent="0.3">
      <c r="A313" s="267"/>
      <c r="B313" s="267"/>
      <c r="C313" s="267"/>
      <c r="D313" s="267"/>
      <c r="E313" s="267"/>
      <c r="F313" s="267"/>
      <c r="G313" s="267"/>
      <c r="H313" s="267"/>
    </row>
    <row r="314" spans="1:8" x14ac:dyDescent="0.3">
      <c r="A314" s="245"/>
      <c r="B314" s="245"/>
      <c r="C314" s="245"/>
      <c r="D314" s="245"/>
      <c r="E314" s="245"/>
      <c r="F314" s="245"/>
      <c r="G314" s="245"/>
      <c r="H314" s="245"/>
    </row>
    <row r="315" spans="1:8" x14ac:dyDescent="0.3">
      <c r="A315" s="245"/>
      <c r="B315" s="245"/>
      <c r="C315" s="245"/>
      <c r="D315" s="245"/>
      <c r="E315" s="245"/>
      <c r="F315" s="245"/>
      <c r="G315" s="245"/>
      <c r="H315" s="245"/>
    </row>
    <row r="316" spans="1:8" x14ac:dyDescent="0.3">
      <c r="A316" s="245"/>
      <c r="B316" s="245"/>
      <c r="C316" s="245"/>
      <c r="D316" s="245"/>
      <c r="E316" s="245"/>
      <c r="F316" s="245"/>
      <c r="G316" s="245"/>
      <c r="H316" s="245"/>
    </row>
    <row r="317" spans="1:8" x14ac:dyDescent="0.3">
      <c r="A317" s="245"/>
      <c r="B317" s="245"/>
      <c r="C317" s="245"/>
      <c r="D317" s="245"/>
      <c r="E317" s="245"/>
      <c r="F317" s="245"/>
      <c r="G317" s="245"/>
      <c r="H317" s="245"/>
    </row>
    <row r="319" spans="1:8" x14ac:dyDescent="0.3">
      <c r="A319" s="213" t="s">
        <v>524</v>
      </c>
      <c r="B319" s="214"/>
      <c r="C319" s="214"/>
      <c r="D319" s="214"/>
      <c r="E319" s="214"/>
      <c r="F319" s="214"/>
    </row>
    <row r="320" spans="1:8" x14ac:dyDescent="0.3">
      <c r="A320" s="267"/>
      <c r="B320" s="267"/>
      <c r="C320" s="267"/>
      <c r="D320" s="267"/>
      <c r="E320" s="267"/>
      <c r="F320" s="267"/>
      <c r="G320" s="267"/>
      <c r="H320" s="267"/>
    </row>
    <row r="321" spans="1:8" x14ac:dyDescent="0.3">
      <c r="A321" s="245"/>
      <c r="B321" s="245"/>
      <c r="C321" s="245"/>
      <c r="D321" s="245"/>
      <c r="E321" s="245"/>
      <c r="F321" s="245"/>
      <c r="G321" s="245"/>
      <c r="H321" s="245"/>
    </row>
    <row r="322" spans="1:8" x14ac:dyDescent="0.3">
      <c r="A322" s="245"/>
      <c r="B322" s="245"/>
      <c r="C322" s="245"/>
      <c r="D322" s="245"/>
      <c r="E322" s="245"/>
      <c r="F322" s="245"/>
      <c r="G322" s="245"/>
      <c r="H322" s="245"/>
    </row>
    <row r="324" spans="1:8" x14ac:dyDescent="0.3">
      <c r="A324" s="213" t="s">
        <v>430</v>
      </c>
      <c r="B324" s="265"/>
      <c r="C324" s="265"/>
    </row>
    <row r="325" spans="1:8" x14ac:dyDescent="0.3">
      <c r="A325"/>
    </row>
    <row r="326" spans="1:8" x14ac:dyDescent="0.3">
      <c r="A326" s="37" t="s">
        <v>431</v>
      </c>
      <c r="B326" s="28"/>
      <c r="C326" s="29"/>
      <c r="D326" s="26"/>
    </row>
    <row r="327" spans="1:8" x14ac:dyDescent="0.3">
      <c r="A327" s="37" t="s">
        <v>432</v>
      </c>
      <c r="B327" s="28"/>
      <c r="C327" s="29"/>
      <c r="D327" s="26"/>
    </row>
    <row r="328" spans="1:8" x14ac:dyDescent="0.3">
      <c r="A328" s="37" t="s">
        <v>535</v>
      </c>
      <c r="B328" s="28"/>
      <c r="C328" s="29"/>
      <c r="D328" s="26"/>
    </row>
    <row r="329" spans="1:8" x14ac:dyDescent="0.3">
      <c r="A329" s="37" t="s">
        <v>480</v>
      </c>
      <c r="B329" s="28"/>
      <c r="C329" s="29"/>
      <c r="D329" s="26"/>
    </row>
    <row r="330" spans="1:8" x14ac:dyDescent="0.3">
      <c r="A330" s="39" t="s">
        <v>433</v>
      </c>
      <c r="B330" s="50"/>
      <c r="C330" s="48"/>
      <c r="D330" s="26"/>
    </row>
    <row r="332" spans="1:8" x14ac:dyDescent="0.3">
      <c r="A332" s="268" t="s">
        <v>406</v>
      </c>
      <c r="B332" s="214"/>
      <c r="C332" s="214"/>
    </row>
    <row r="333" spans="1:8" x14ac:dyDescent="0.3">
      <c r="A333" s="267"/>
      <c r="B333" s="267"/>
      <c r="C333" s="267"/>
      <c r="D333" s="267"/>
      <c r="E333" s="267"/>
      <c r="F333" s="267"/>
      <c r="G333" s="267"/>
      <c r="H333" s="267"/>
    </row>
    <row r="334" spans="1:8" x14ac:dyDescent="0.3">
      <c r="A334" s="245"/>
      <c r="B334" s="245"/>
      <c r="C334" s="245"/>
      <c r="D334" s="245"/>
      <c r="E334" s="245"/>
      <c r="F334" s="245"/>
      <c r="G334" s="245"/>
      <c r="H334" s="245"/>
    </row>
    <row r="335" spans="1:8" x14ac:dyDescent="0.3">
      <c r="A335" s="245"/>
      <c r="B335" s="245"/>
      <c r="C335" s="245"/>
      <c r="D335" s="245"/>
      <c r="E335" s="245"/>
      <c r="F335" s="245"/>
      <c r="G335" s="245"/>
      <c r="H335" s="245"/>
    </row>
    <row r="337" spans="1:8" x14ac:dyDescent="0.3">
      <c r="A337" s="213" t="s">
        <v>434</v>
      </c>
      <c r="B337" s="214"/>
      <c r="C337" s="214"/>
    </row>
    <row r="339" spans="1:8" x14ac:dyDescent="0.3">
      <c r="A339" s="37" t="s">
        <v>435</v>
      </c>
      <c r="B339" s="28"/>
      <c r="C339" s="28"/>
      <c r="D339" s="29"/>
      <c r="E339" s="26"/>
    </row>
    <row r="340" spans="1:8" x14ac:dyDescent="0.3">
      <c r="A340" s="30" t="s">
        <v>535</v>
      </c>
      <c r="B340" s="66"/>
      <c r="C340" s="66"/>
      <c r="D340" s="47"/>
      <c r="E340" s="90"/>
    </row>
    <row r="341" spans="1:8" x14ac:dyDescent="0.3">
      <c r="A341" s="23"/>
    </row>
    <row r="342" spans="1:8" x14ac:dyDescent="0.3">
      <c r="A342" s="37" t="s">
        <v>536</v>
      </c>
      <c r="B342" s="28"/>
      <c r="C342" s="86"/>
      <c r="D342" s="85"/>
      <c r="E342" s="26"/>
    </row>
    <row r="343" spans="1:8" x14ac:dyDescent="0.3">
      <c r="A343" s="37" t="s">
        <v>436</v>
      </c>
      <c r="B343" s="28"/>
      <c r="C343" s="28"/>
      <c r="D343" s="29"/>
      <c r="E343" s="26"/>
    </row>
    <row r="344" spans="1:8" x14ac:dyDescent="0.3">
      <c r="A344" s="58"/>
      <c r="B344" s="52"/>
      <c r="C344" s="52"/>
      <c r="D344" s="52"/>
    </row>
    <row r="345" spans="1:8" x14ac:dyDescent="0.3">
      <c r="A345" s="58"/>
      <c r="B345" s="52"/>
      <c r="C345" s="52"/>
      <c r="D345" s="52"/>
    </row>
    <row r="346" spans="1:8" x14ac:dyDescent="0.3">
      <c r="A346" s="268" t="s">
        <v>508</v>
      </c>
      <c r="B346" s="268"/>
      <c r="C346" s="268"/>
      <c r="D346" s="268"/>
      <c r="E346" s="268"/>
      <c r="F346" s="268"/>
    </row>
    <row r="347" spans="1:8" x14ac:dyDescent="0.3">
      <c r="A347" s="267"/>
      <c r="B347" s="267"/>
      <c r="C347" s="267"/>
      <c r="D347" s="267"/>
      <c r="E347" s="267"/>
      <c r="F347" s="267"/>
      <c r="G347" s="267"/>
      <c r="H347" s="267"/>
    </row>
    <row r="348" spans="1:8" x14ac:dyDescent="0.3">
      <c r="A348" s="245"/>
      <c r="B348" s="245"/>
      <c r="C348" s="245"/>
      <c r="D348" s="245"/>
      <c r="E348" s="245"/>
      <c r="F348" s="245"/>
      <c r="G348" s="245"/>
      <c r="H348" s="245"/>
    </row>
    <row r="349" spans="1:8" x14ac:dyDescent="0.3">
      <c r="A349" s="245"/>
      <c r="B349" s="245"/>
      <c r="C349" s="245"/>
      <c r="D349" s="245"/>
      <c r="E349" s="245"/>
      <c r="F349" s="245"/>
      <c r="G349" s="245"/>
      <c r="H349" s="245"/>
    </row>
    <row r="350" spans="1:8" x14ac:dyDescent="0.3">
      <c r="A350" s="245"/>
      <c r="B350" s="245"/>
      <c r="C350" s="245"/>
      <c r="D350" s="245"/>
      <c r="E350" s="245"/>
      <c r="F350" s="245"/>
      <c r="G350" s="245"/>
      <c r="H350" s="245"/>
    </row>
    <row r="351" spans="1:8" x14ac:dyDescent="0.3">
      <c r="A351" s="245"/>
      <c r="B351" s="245"/>
      <c r="C351" s="245"/>
      <c r="D351" s="245"/>
      <c r="E351" s="245"/>
      <c r="F351" s="245"/>
      <c r="G351" s="245"/>
      <c r="H351" s="245"/>
    </row>
    <row r="352" spans="1:8" x14ac:dyDescent="0.3">
      <c r="A352" s="74"/>
      <c r="B352" s="74"/>
      <c r="C352" s="74"/>
      <c r="D352" s="74"/>
      <c r="E352" s="74"/>
      <c r="F352" s="74"/>
      <c r="G352" s="74"/>
      <c r="H352" s="74"/>
    </row>
    <row r="353" spans="1:8" x14ac:dyDescent="0.3">
      <c r="A353" s="22"/>
      <c r="B353" s="22"/>
      <c r="C353" s="22"/>
      <c r="D353" s="22"/>
      <c r="E353" s="22"/>
      <c r="F353" s="22"/>
      <c r="G353" s="22"/>
      <c r="H353" s="22"/>
    </row>
    <row r="354" spans="1:8" x14ac:dyDescent="0.3">
      <c r="A354" s="213" t="s">
        <v>459</v>
      </c>
      <c r="B354" s="265"/>
    </row>
    <row r="356" spans="1:8" x14ac:dyDescent="0.3">
      <c r="A356" s="37" t="s">
        <v>438</v>
      </c>
      <c r="B356" s="28"/>
      <c r="C356" s="29"/>
      <c r="D356" s="26"/>
    </row>
    <row r="357" spans="1:8" x14ac:dyDescent="0.3">
      <c r="A357" s="39" t="s">
        <v>437</v>
      </c>
      <c r="B357" s="50"/>
      <c r="C357" s="48"/>
      <c r="D357" s="26"/>
    </row>
    <row r="358" spans="1:8" x14ac:dyDescent="0.3">
      <c r="A358" s="23"/>
    </row>
    <row r="359" spans="1:8" x14ac:dyDescent="0.3">
      <c r="A359" s="213" t="s">
        <v>538</v>
      </c>
      <c r="B359" s="214"/>
      <c r="C359" s="214"/>
      <c r="D359" s="214"/>
      <c r="E359" s="214"/>
      <c r="F359" s="214"/>
    </row>
    <row r="360" spans="1:8" ht="14.55" customHeight="1" x14ac:dyDescent="0.3">
      <c r="A360" s="281" t="s">
        <v>439</v>
      </c>
      <c r="B360" s="281"/>
      <c r="C360" s="281"/>
      <c r="D360" s="281"/>
      <c r="E360" s="281"/>
      <c r="F360" s="281"/>
      <c r="G360" s="281"/>
      <c r="H360" s="281"/>
    </row>
    <row r="361" spans="1:8" ht="15" customHeight="1" x14ac:dyDescent="0.3">
      <c r="A361" s="270" t="s">
        <v>537</v>
      </c>
      <c r="B361" s="270"/>
      <c r="C361" s="270"/>
      <c r="D361" s="270"/>
      <c r="E361" s="270"/>
      <c r="F361" s="270"/>
      <c r="G361" s="270"/>
      <c r="H361" s="270"/>
    </row>
    <row r="362" spans="1:8" x14ac:dyDescent="0.3">
      <c r="A362" s="270"/>
      <c r="B362" s="270"/>
      <c r="C362" s="270"/>
      <c r="D362" s="270"/>
      <c r="E362" s="270"/>
      <c r="F362" s="270"/>
      <c r="G362" s="270"/>
      <c r="H362" s="270"/>
    </row>
    <row r="363" spans="1:8" x14ac:dyDescent="0.3">
      <c r="A363" s="270"/>
      <c r="B363" s="270"/>
      <c r="C363" s="270"/>
      <c r="D363" s="270"/>
      <c r="E363" s="270"/>
      <c r="F363" s="270"/>
      <c r="G363" s="270"/>
      <c r="H363" s="270"/>
    </row>
    <row r="364" spans="1:8" x14ac:dyDescent="0.3">
      <c r="A364" s="270"/>
      <c r="B364" s="270"/>
      <c r="C364" s="270"/>
      <c r="D364" s="270"/>
      <c r="E364" s="270"/>
      <c r="F364" s="270"/>
      <c r="G364" s="270"/>
      <c r="H364" s="270"/>
    </row>
    <row r="365" spans="1:8" x14ac:dyDescent="0.3">
      <c r="A365" s="71"/>
      <c r="B365" s="71"/>
      <c r="C365" s="71"/>
      <c r="D365" s="71"/>
      <c r="E365" s="71"/>
      <c r="F365" s="71"/>
      <c r="G365" s="71"/>
      <c r="H365" s="71"/>
    </row>
    <row r="366" spans="1:8" x14ac:dyDescent="0.3">
      <c r="A366" s="71"/>
      <c r="B366" s="71"/>
      <c r="C366" s="71"/>
      <c r="D366" s="71"/>
      <c r="E366" s="71"/>
      <c r="F366" s="71"/>
      <c r="G366" s="71"/>
      <c r="H366" s="71"/>
    </row>
    <row r="367" spans="1:8" x14ac:dyDescent="0.3">
      <c r="A367" s="72"/>
      <c r="B367" s="72"/>
      <c r="C367" s="72"/>
      <c r="D367" s="72"/>
      <c r="E367" s="72"/>
      <c r="F367" s="72"/>
      <c r="G367" s="72"/>
      <c r="H367" s="72"/>
    </row>
    <row r="369" spans="1:10" x14ac:dyDescent="0.3">
      <c r="A369"/>
      <c r="F369" s="53"/>
      <c r="G369" s="54"/>
      <c r="H369" s="70"/>
    </row>
    <row r="370" spans="1:10" x14ac:dyDescent="0.3">
      <c r="A370" s="37" t="s">
        <v>481</v>
      </c>
      <c r="B370" s="28"/>
      <c r="C370" s="28"/>
      <c r="D370" s="28"/>
      <c r="E370" s="29"/>
      <c r="F370" s="254" t="s">
        <v>482</v>
      </c>
      <c r="G370" s="255"/>
      <c r="H370" s="256"/>
    </row>
    <row r="371" spans="1:10" x14ac:dyDescent="0.3">
      <c r="A371" s="37" t="s">
        <v>483</v>
      </c>
      <c r="B371" s="28"/>
      <c r="C371" s="28"/>
      <c r="D371" s="28"/>
      <c r="E371" s="29"/>
      <c r="F371" s="254" t="s">
        <v>484</v>
      </c>
      <c r="G371" s="255"/>
      <c r="H371" s="256"/>
    </row>
    <row r="372" spans="1:10" x14ac:dyDescent="0.3">
      <c r="A372" s="37" t="s">
        <v>485</v>
      </c>
      <c r="B372" s="28"/>
      <c r="C372" s="28"/>
      <c r="D372" s="28"/>
      <c r="E372" s="29"/>
      <c r="F372" s="251" t="s">
        <v>441</v>
      </c>
      <c r="G372" s="252"/>
      <c r="H372" s="253"/>
    </row>
    <row r="373" spans="1:10" x14ac:dyDescent="0.3">
      <c r="A373" s="37" t="s">
        <v>486</v>
      </c>
      <c r="B373" s="28"/>
      <c r="C373" s="28"/>
      <c r="D373" s="28"/>
      <c r="E373" s="29"/>
      <c r="F373" s="251" t="s">
        <v>442</v>
      </c>
      <c r="G373" s="252"/>
      <c r="H373" s="253"/>
    </row>
    <row r="374" spans="1:10" x14ac:dyDescent="0.3">
      <c r="A374" s="37" t="s">
        <v>487</v>
      </c>
      <c r="B374" s="28"/>
      <c r="C374" s="28"/>
      <c r="D374" s="28"/>
      <c r="E374" s="29"/>
      <c r="F374" s="284"/>
      <c r="G374" s="285"/>
    </row>
    <row r="375" spans="1:10" x14ac:dyDescent="0.3">
      <c r="A375" s="37" t="s">
        <v>488</v>
      </c>
      <c r="B375" s="28"/>
      <c r="C375" s="28"/>
      <c r="D375" s="28"/>
      <c r="E375" s="29"/>
      <c r="F375" s="282"/>
      <c r="G375" s="283"/>
    </row>
    <row r="376" spans="1:10" x14ac:dyDescent="0.3">
      <c r="A376" s="39" t="s">
        <v>440</v>
      </c>
      <c r="B376" s="50"/>
      <c r="C376" s="50"/>
      <c r="D376" s="50"/>
      <c r="E376" s="48"/>
      <c r="F376" s="284"/>
      <c r="G376" s="285"/>
    </row>
    <row r="377" spans="1:10" x14ac:dyDescent="0.3">
      <c r="A377" s="23"/>
    </row>
    <row r="378" spans="1:10" x14ac:dyDescent="0.3">
      <c r="A378" s="247" t="s">
        <v>724</v>
      </c>
      <c r="B378" s="247"/>
      <c r="C378" s="247"/>
      <c r="D378" s="247"/>
      <c r="E378" s="247"/>
      <c r="F378" s="247"/>
      <c r="G378" s="247"/>
      <c r="H378" s="247"/>
      <c r="I378" s="247"/>
      <c r="J378" s="247"/>
    </row>
    <row r="379" spans="1:10" x14ac:dyDescent="0.3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</row>
    <row r="380" spans="1:10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</row>
    <row r="382" spans="1:10" x14ac:dyDescent="0.3">
      <c r="A382" s="247" t="s">
        <v>723</v>
      </c>
      <c r="B382" s="247"/>
      <c r="C382" s="247"/>
      <c r="D382" s="247"/>
      <c r="E382" s="247"/>
      <c r="F382" s="247"/>
      <c r="G382" s="247"/>
      <c r="H382" s="247"/>
      <c r="I382" s="247"/>
      <c r="J382" s="247"/>
    </row>
    <row r="383" spans="1:10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5" spans="1:8" x14ac:dyDescent="0.3">
      <c r="A385" s="213" t="s">
        <v>489</v>
      </c>
      <c r="B385" s="214"/>
    </row>
    <row r="387" spans="1:8" x14ac:dyDescent="0.3">
      <c r="A387" s="268" t="s">
        <v>490</v>
      </c>
      <c r="B387" s="268"/>
      <c r="C387" s="268"/>
      <c r="D387" s="268"/>
      <c r="E387" s="268"/>
      <c r="F387" s="268"/>
    </row>
    <row r="389" spans="1:8" x14ac:dyDescent="0.3">
      <c r="A389" s="37" t="s">
        <v>443</v>
      </c>
      <c r="B389" s="28"/>
      <c r="C389" s="28"/>
      <c r="D389" s="28"/>
      <c r="E389" s="29"/>
      <c r="F389" s="26"/>
    </row>
    <row r="390" spans="1:8" x14ac:dyDescent="0.3">
      <c r="A390" s="37" t="s">
        <v>444</v>
      </c>
      <c r="B390" s="28"/>
      <c r="C390" s="28"/>
      <c r="D390" s="28"/>
      <c r="E390" s="29"/>
      <c r="F390" s="26"/>
    </row>
    <row r="391" spans="1:8" x14ac:dyDescent="0.3">
      <c r="A391" s="37" t="s">
        <v>491</v>
      </c>
      <c r="B391" s="28"/>
      <c r="C391" s="28"/>
      <c r="D391" s="28"/>
      <c r="E391" s="29"/>
      <c r="F391" s="26"/>
    </row>
    <row r="392" spans="1:8" x14ac:dyDescent="0.3">
      <c r="A392" s="39" t="s">
        <v>445</v>
      </c>
      <c r="B392" s="50"/>
      <c r="C392" s="50"/>
      <c r="D392" s="50"/>
      <c r="E392" s="48"/>
      <c r="F392" s="26"/>
    </row>
    <row r="394" spans="1:8" x14ac:dyDescent="0.3">
      <c r="A394" s="58"/>
      <c r="B394" s="52"/>
      <c r="C394" s="52"/>
      <c r="D394" s="52"/>
      <c r="E394" s="52"/>
    </row>
    <row r="395" spans="1:8" x14ac:dyDescent="0.3">
      <c r="A395" s="268" t="s">
        <v>57</v>
      </c>
      <c r="B395" s="214"/>
    </row>
    <row r="396" spans="1:8" ht="15" customHeight="1" x14ac:dyDescent="0.3">
      <c r="A396" s="281" t="s">
        <v>448</v>
      </c>
      <c r="B396" s="281"/>
      <c r="C396" s="281"/>
      <c r="D396" s="281"/>
      <c r="E396" s="281"/>
      <c r="F396" s="281"/>
      <c r="G396" s="281"/>
      <c r="H396" s="281"/>
    </row>
    <row r="397" spans="1:8" ht="15" customHeight="1" x14ac:dyDescent="0.3">
      <c r="A397" s="270"/>
      <c r="B397" s="270"/>
      <c r="C397" s="270"/>
      <c r="D397" s="270"/>
      <c r="E397" s="270"/>
      <c r="F397" s="270"/>
      <c r="G397" s="270"/>
      <c r="H397" s="270"/>
    </row>
    <row r="398" spans="1:8" x14ac:dyDescent="0.3">
      <c r="A398" s="270"/>
      <c r="B398" s="270"/>
      <c r="C398" s="270"/>
      <c r="D398" s="270"/>
      <c r="E398" s="270"/>
      <c r="F398" s="270"/>
      <c r="G398" s="270"/>
      <c r="H398" s="270"/>
    </row>
    <row r="399" spans="1:8" x14ac:dyDescent="0.3">
      <c r="A399" s="270"/>
      <c r="B399" s="270"/>
      <c r="C399" s="270"/>
      <c r="D399" s="270"/>
      <c r="E399" s="270"/>
      <c r="F399" s="270"/>
      <c r="G399" s="270"/>
      <c r="H399" s="270"/>
    </row>
    <row r="401" spans="1:8" x14ac:dyDescent="0.3">
      <c r="A401" s="213" t="s">
        <v>460</v>
      </c>
      <c r="B401" s="265"/>
      <c r="C401" s="265"/>
    </row>
    <row r="403" spans="1:8" x14ac:dyDescent="0.3">
      <c r="A403" s="37" t="s">
        <v>449</v>
      </c>
      <c r="B403" s="28"/>
      <c r="C403" s="28"/>
      <c r="D403" s="29"/>
      <c r="E403" s="26"/>
    </row>
    <row r="404" spans="1:8" x14ac:dyDescent="0.3">
      <c r="A404" s="37" t="s">
        <v>450</v>
      </c>
      <c r="B404" s="28"/>
      <c r="C404" s="28"/>
      <c r="D404" s="29"/>
      <c r="E404" s="26"/>
    </row>
    <row r="405" spans="1:8" x14ac:dyDescent="0.3">
      <c r="A405" s="37" t="s">
        <v>451</v>
      </c>
      <c r="B405" s="28"/>
      <c r="C405" s="28"/>
      <c r="D405" s="29"/>
      <c r="E405" s="26"/>
    </row>
    <row r="406" spans="1:8" x14ac:dyDescent="0.3">
      <c r="A406" s="37" t="s">
        <v>452</v>
      </c>
      <c r="B406" s="28"/>
      <c r="C406" s="28"/>
      <c r="D406" s="29"/>
      <c r="E406" s="26"/>
    </row>
    <row r="408" spans="1:8" x14ac:dyDescent="0.3">
      <c r="A408" s="268" t="s">
        <v>57</v>
      </c>
      <c r="B408" s="214"/>
    </row>
    <row r="409" spans="1:8" ht="15" customHeight="1" x14ac:dyDescent="0.3">
      <c r="A409" s="281"/>
      <c r="B409" s="281"/>
      <c r="C409" s="281"/>
      <c r="D409" s="281"/>
      <c r="E409" s="281"/>
      <c r="F409" s="281"/>
      <c r="G409" s="281"/>
      <c r="H409" s="281"/>
    </row>
    <row r="410" spans="1:8" ht="15" customHeight="1" x14ac:dyDescent="0.3">
      <c r="A410" s="270"/>
      <c r="B410" s="270"/>
      <c r="C410" s="270"/>
      <c r="D410" s="270"/>
      <c r="E410" s="270"/>
      <c r="F410" s="270"/>
      <c r="G410" s="270"/>
      <c r="H410" s="270"/>
    </row>
    <row r="411" spans="1:8" x14ac:dyDescent="0.3">
      <c r="A411" s="270"/>
      <c r="B411" s="270"/>
      <c r="C411" s="270"/>
      <c r="D411" s="270"/>
      <c r="E411" s="270"/>
      <c r="F411" s="270"/>
      <c r="G411" s="270"/>
      <c r="H411" s="270"/>
    </row>
    <row r="412" spans="1:8" x14ac:dyDescent="0.3">
      <c r="A412" s="270"/>
      <c r="B412" s="270"/>
      <c r="C412" s="270"/>
      <c r="D412" s="270"/>
      <c r="E412" s="270"/>
      <c r="F412" s="270"/>
      <c r="G412" s="270"/>
      <c r="H412" s="270"/>
    </row>
  </sheetData>
  <protectedRanges>
    <protectedRange algorithmName="SHA-512" hashValue="MaPsNBeqbuupOQMegI6LIFGzKlowskdBAWoC41wSdCLgQxFPQ6msYUd0Ap0yG98CpdTH1O6jchU5KOmhHZ5nCw==" saltValue="EtCOJZ8M1TiLIXCrGq/ayg==" spinCount="100000" sqref="E132" name="Formulevelden"/>
    <protectedRange algorithmName="SHA-512" hashValue="Panq3ax6MVuBLK98EFW2xDA2K4UBYOLQ3BQnbW9NZLeaG0hz01sDr2XRI3f6mzkUJ9nn/e0DPxL9/S5V6ya39A==" saltValue="UjwBhmq5DWtjsNaKVMwEwA==" spinCount="100000" sqref="E10" name="Range3"/>
  </protectedRanges>
  <mergeCells count="239">
    <mergeCell ref="H14:I14"/>
    <mergeCell ref="H15:I15"/>
    <mergeCell ref="H16:I16"/>
    <mergeCell ref="H18:I18"/>
    <mergeCell ref="E19:G19"/>
    <mergeCell ref="H19:I19"/>
    <mergeCell ref="A49:H49"/>
    <mergeCell ref="A66:H66"/>
    <mergeCell ref="A67:H67"/>
    <mergeCell ref="A18:D18"/>
    <mergeCell ref="F25:G25"/>
    <mergeCell ref="F26:G26"/>
    <mergeCell ref="F27:G27"/>
    <mergeCell ref="F21:G21"/>
    <mergeCell ref="A63:B63"/>
    <mergeCell ref="D62:F62"/>
    <mergeCell ref="E14:G14"/>
    <mergeCell ref="E15:G15"/>
    <mergeCell ref="E16:G16"/>
    <mergeCell ref="E18:G18"/>
    <mergeCell ref="A69:H69"/>
    <mergeCell ref="A68:H68"/>
    <mergeCell ref="A62:B62"/>
    <mergeCell ref="G128:H128"/>
    <mergeCell ref="B126:C126"/>
    <mergeCell ref="G126:H126"/>
    <mergeCell ref="A263:H263"/>
    <mergeCell ref="A198:H198"/>
    <mergeCell ref="A163:H163"/>
    <mergeCell ref="D165:D167"/>
    <mergeCell ref="A233:H233"/>
    <mergeCell ref="A236:D236"/>
    <mergeCell ref="A96:H96"/>
    <mergeCell ref="A87:H87"/>
    <mergeCell ref="A88:H88"/>
    <mergeCell ref="A89:H89"/>
    <mergeCell ref="A90:H90"/>
    <mergeCell ref="A91:H91"/>
    <mergeCell ref="A92:H92"/>
    <mergeCell ref="A93:H93"/>
    <mergeCell ref="A94:H94"/>
    <mergeCell ref="A95:H95"/>
    <mergeCell ref="A79:H79"/>
    <mergeCell ref="A80:H80"/>
    <mergeCell ref="A81:H81"/>
    <mergeCell ref="A82:H82"/>
    <mergeCell ref="A83:H83"/>
    <mergeCell ref="A19:D19"/>
    <mergeCell ref="D63:F63"/>
    <mergeCell ref="A165:A167"/>
    <mergeCell ref="A219:H219"/>
    <mergeCell ref="A220:H220"/>
    <mergeCell ref="E224:F225"/>
    <mergeCell ref="F213:G213"/>
    <mergeCell ref="F208:G208"/>
    <mergeCell ref="F209:G209"/>
    <mergeCell ref="F210:G210"/>
    <mergeCell ref="F205:G205"/>
    <mergeCell ref="F206:G206"/>
    <mergeCell ref="A174:H174"/>
    <mergeCell ref="F216:G216"/>
    <mergeCell ref="F211:G211"/>
    <mergeCell ref="A199:H199"/>
    <mergeCell ref="F212:G212"/>
    <mergeCell ref="A197:H197"/>
    <mergeCell ref="A168:A170"/>
    <mergeCell ref="B165:B167"/>
    <mergeCell ref="B168:B170"/>
    <mergeCell ref="A221:H221"/>
    <mergeCell ref="F207:G207"/>
    <mergeCell ref="F214:G214"/>
    <mergeCell ref="F215:G215"/>
    <mergeCell ref="C161:H161"/>
    <mergeCell ref="B158:H158"/>
    <mergeCell ref="B159:H159"/>
    <mergeCell ref="B160:H160"/>
    <mergeCell ref="A142:H142"/>
    <mergeCell ref="A161:B161"/>
    <mergeCell ref="A143:H143"/>
    <mergeCell ref="A144:H144"/>
    <mergeCell ref="A104:H104"/>
    <mergeCell ref="A147:B147"/>
    <mergeCell ref="A141:H141"/>
    <mergeCell ref="F125:H125"/>
    <mergeCell ref="A137:I137"/>
    <mergeCell ref="D131:D133"/>
    <mergeCell ref="G131:J133"/>
    <mergeCell ref="I125:J125"/>
    <mergeCell ref="B128:C128"/>
    <mergeCell ref="A136:I136"/>
    <mergeCell ref="I106:I113"/>
    <mergeCell ref="H116:J116"/>
    <mergeCell ref="H117:I117"/>
    <mergeCell ref="H118:J118"/>
    <mergeCell ref="A3:B3"/>
    <mergeCell ref="A4:B4"/>
    <mergeCell ref="A5:B5"/>
    <mergeCell ref="A6:B6"/>
    <mergeCell ref="A16:D16"/>
    <mergeCell ref="A14:D14"/>
    <mergeCell ref="A15:D15"/>
    <mergeCell ref="A135:I135"/>
    <mergeCell ref="A48:H48"/>
    <mergeCell ref="B129:C129"/>
    <mergeCell ref="A76:H76"/>
    <mergeCell ref="A75:H75"/>
    <mergeCell ref="G129:H129"/>
    <mergeCell ref="H4:I4"/>
    <mergeCell ref="A17:D17"/>
    <mergeCell ref="E17:G17"/>
    <mergeCell ref="H17:I17"/>
    <mergeCell ref="A84:H84"/>
    <mergeCell ref="A85:H85"/>
    <mergeCell ref="A86:H86"/>
    <mergeCell ref="A35:H35"/>
    <mergeCell ref="A72:D72"/>
    <mergeCell ref="A73:I73"/>
    <mergeCell ref="A74:H74"/>
    <mergeCell ref="H5:I5"/>
    <mergeCell ref="H6:I6"/>
    <mergeCell ref="H3:I3"/>
    <mergeCell ref="C11:I11"/>
    <mergeCell ref="C9:D9"/>
    <mergeCell ref="C10:D10"/>
    <mergeCell ref="E9:I9"/>
    <mergeCell ref="H10:I10"/>
    <mergeCell ref="C7:D7"/>
    <mergeCell ref="H7:I7"/>
    <mergeCell ref="C3:D3"/>
    <mergeCell ref="C4:D4"/>
    <mergeCell ref="C5:D5"/>
    <mergeCell ref="C6:D6"/>
    <mergeCell ref="E10:G10"/>
    <mergeCell ref="A385:B385"/>
    <mergeCell ref="A395:B395"/>
    <mergeCell ref="F375:G375"/>
    <mergeCell ref="F376:G376"/>
    <mergeCell ref="F374:G374"/>
    <mergeCell ref="A360:H360"/>
    <mergeCell ref="A349:H349"/>
    <mergeCell ref="E165:E167"/>
    <mergeCell ref="D168:D170"/>
    <mergeCell ref="E168:E170"/>
    <mergeCell ref="C225:D225"/>
    <mergeCell ref="A333:H333"/>
    <mergeCell ref="A334:H334"/>
    <mergeCell ref="A335:H335"/>
    <mergeCell ref="A332:C332"/>
    <mergeCell ref="A309:H309"/>
    <mergeCell ref="A249:D249"/>
    <mergeCell ref="A260:B260"/>
    <mergeCell ref="A228:H228"/>
    <mergeCell ref="A229:H229"/>
    <mergeCell ref="C223:D223"/>
    <mergeCell ref="E223:F223"/>
    <mergeCell ref="A226:C226"/>
    <mergeCell ref="A173:H173"/>
    <mergeCell ref="A412:H412"/>
    <mergeCell ref="A401:C401"/>
    <mergeCell ref="A408:B408"/>
    <mergeCell ref="A409:H409"/>
    <mergeCell ref="A410:H410"/>
    <mergeCell ref="A411:H411"/>
    <mergeCell ref="A399:H399"/>
    <mergeCell ref="A398:H398"/>
    <mergeCell ref="A387:F387"/>
    <mergeCell ref="A397:H397"/>
    <mergeCell ref="A396:H396"/>
    <mergeCell ref="F370:H370"/>
    <mergeCell ref="A364:H364"/>
    <mergeCell ref="A363:H363"/>
    <mergeCell ref="A362:H362"/>
    <mergeCell ref="A361:H361"/>
    <mergeCell ref="A359:F359"/>
    <mergeCell ref="A235:D235"/>
    <mergeCell ref="A319:F319"/>
    <mergeCell ref="A320:H320"/>
    <mergeCell ref="A317:H317"/>
    <mergeCell ref="A316:H316"/>
    <mergeCell ref="A308:H308"/>
    <mergeCell ref="A313:H313"/>
    <mergeCell ref="A314:H314"/>
    <mergeCell ref="A315:H315"/>
    <mergeCell ref="A303:B303"/>
    <mergeCell ref="A237:H237"/>
    <mergeCell ref="A238:H238"/>
    <mergeCell ref="A307:H307"/>
    <mergeCell ref="A285:H285"/>
    <mergeCell ref="F253:H257"/>
    <mergeCell ref="A312:F312"/>
    <mergeCell ref="A284:H284"/>
    <mergeCell ref="A283:H283"/>
    <mergeCell ref="A351:H351"/>
    <mergeCell ref="C224:D224"/>
    <mergeCell ref="A348:H348"/>
    <mergeCell ref="A347:H347"/>
    <mergeCell ref="A337:C337"/>
    <mergeCell ref="A321:H321"/>
    <mergeCell ref="A322:H322"/>
    <mergeCell ref="A346:F346"/>
    <mergeCell ref="A280:H280"/>
    <mergeCell ref="A324:C324"/>
    <mergeCell ref="A231:D231"/>
    <mergeCell ref="A232:H232"/>
    <mergeCell ref="A227:D227"/>
    <mergeCell ref="A306:B306"/>
    <mergeCell ref="A262:H262"/>
    <mergeCell ref="A261:H261"/>
    <mergeCell ref="A244:D244"/>
    <mergeCell ref="A288:H288"/>
    <mergeCell ref="A289:H289"/>
    <mergeCell ref="A292:H292"/>
    <mergeCell ref="A293:H293"/>
    <mergeCell ref="A279:H279"/>
    <mergeCell ref="A278:H278"/>
    <mergeCell ref="A378:J378"/>
    <mergeCell ref="A379:J379"/>
    <mergeCell ref="A382:J382"/>
    <mergeCell ref="F373:H373"/>
    <mergeCell ref="F372:H372"/>
    <mergeCell ref="F371:H371"/>
    <mergeCell ref="F22:G22"/>
    <mergeCell ref="F23:G23"/>
    <mergeCell ref="F24:G24"/>
    <mergeCell ref="F28:G28"/>
    <mergeCell ref="F29:G29"/>
    <mergeCell ref="B127:C127"/>
    <mergeCell ref="G127:H127"/>
    <mergeCell ref="A47:H47"/>
    <mergeCell ref="A57:H57"/>
    <mergeCell ref="A58:H58"/>
    <mergeCell ref="A32:H32"/>
    <mergeCell ref="A33:H33"/>
    <mergeCell ref="A34:H34"/>
    <mergeCell ref="A46:H46"/>
    <mergeCell ref="A77:H77"/>
    <mergeCell ref="A78:H78"/>
    <mergeCell ref="A354:B354"/>
    <mergeCell ref="A350:H350"/>
  </mergeCells>
  <phoneticPr fontId="13" type="noConversion"/>
  <dataValidations count="1">
    <dataValidation type="whole" allowBlank="1" showInputMessage="1" showErrorMessage="1" sqref="B132" xr:uid="{674017CD-0A52-4D96-9318-177749717486}">
      <formula1>1</formula1>
      <formula2>10</formula2>
    </dataValidation>
  </dataValidations>
  <pageMargins left="0.25" right="0.25" top="0.75" bottom="0.75" header="0.3" footer="0.3"/>
  <pageSetup paperSize="9" orientation="portrait" r:id="rId1"/>
  <headerFooter>
    <oddHeader>&amp;L&amp;G&amp;C&amp;"-,Bold"Technical Site Survey Report
Nieuwbouw 
Ericsson - VodafoneZiggo&amp;R&amp;G</oddHeader>
    <oddFooter>&amp;C&amp;F&amp;RPagina &amp;P - &amp;N</oddFooter>
  </headerFooter>
  <ignoredErrors>
    <ignoredError sqref="A150:A152" numberStoredAsText="1"/>
  </ignoredErrors>
  <legacyDrawing r:id="rId2"/>
  <legacyDrawingHF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InputMessage="1" showErrorMessage="1" xr:uid="{F23ED891-D540-4261-8554-14584805EF3B}">
          <x14:formula1>
            <xm:f>values!$N$3:$N$6</xm:f>
          </x14:formula1>
          <xm:sqref>C155</xm:sqref>
        </x14:dataValidation>
        <x14:dataValidation type="list" allowBlank="1" showInputMessage="1" showErrorMessage="1" xr:uid="{DFAE229C-23CD-4208-B0FC-12B3D568EBAD}">
          <x14:formula1>
            <xm:f>values!$Z$3:$Z$5</xm:f>
          </x14:formula1>
          <xm:sqref>F214:G214 F203:G204 G63</xm:sqref>
        </x14:dataValidation>
        <x14:dataValidation type="list" allowBlank="1" showInputMessage="1" showErrorMessage="1" xr:uid="{DB6E0CDB-F749-4829-8BFA-877EF08C871F}">
          <x14:formula1>
            <xm:f>values!$AB$3:$AB$7</xm:f>
          </x14:formula1>
          <xm:sqref>F178:F181 F183:F185 F187:F194</xm:sqref>
        </x14:dataValidation>
        <x14:dataValidation type="list" allowBlank="1" showInputMessage="1" showErrorMessage="1" xr:uid="{FD6D5A94-5408-40BE-A1C5-9A1E51B14E49}">
          <x14:formula1>
            <xm:f>values!$AB$3:$AB$6</xm:f>
          </x14:formula1>
          <xm:sqref>C267:C271 D253:D259 D356:D358 E403:E406 E53:E54 B297:B301 F374:G376 E339:E340 E342:E343</xm:sqref>
        </x14:dataValidation>
        <x14:dataValidation type="list" allowBlank="1" showInputMessage="1" showErrorMessage="1" xr:uid="{D93864C0-C88E-4E20-808B-71BD9C611DF3}">
          <x14:formula1>
            <xm:f>values!$AK$3:$AK$6</xm:f>
          </x14:formula1>
          <xm:sqref>C274:C275 C224:D225</xm:sqref>
        </x14:dataValidation>
        <x14:dataValidation type="list" allowBlank="1" showInputMessage="1" showErrorMessage="1" xr:uid="{7BD93D2B-2850-4CA1-A575-C2838D33B368}">
          <x14:formula1>
            <xm:f>values!$AK$3:$AK$5</xm:f>
          </x14:formula1>
          <xm:sqref>C247 E249 D326:D330</xm:sqref>
        </x14:dataValidation>
        <x14:dataValidation type="list" allowBlank="1" showInputMessage="1" showErrorMessage="1" xr:uid="{1D2682C2-58A8-4524-A80F-CACBB88B21FD}">
          <x14:formula1>
            <xm:f>values!$AM$3:$AM$6</xm:f>
          </x14:formula1>
          <xm:sqref>C246</xm:sqref>
        </x14:dataValidation>
        <x14:dataValidation type="list" allowBlank="1" showInputMessage="1" showErrorMessage="1" xr:uid="{D0EB9934-C3AF-4A7F-9F95-A6B37F76B61E}">
          <x14:formula1>
            <xm:f>values!$AO$3:$AO$6</xm:f>
          </x14:formula1>
          <xm:sqref>F389:F392 F394</xm:sqref>
        </x14:dataValidation>
        <x14:dataValidation type="list" allowBlank="1" showInputMessage="1" showErrorMessage="1" xr:uid="{08804727-2F30-4725-8A4A-508D3683F92C}">
          <x14:formula1>
            <xm:f>values!$AF$3:$AF$9</xm:f>
          </x14:formula1>
          <xm:sqref>F54</xm:sqref>
        </x14:dataValidation>
        <x14:dataValidation type="list" allowBlank="1" showInputMessage="1" showErrorMessage="1" xr:uid="{C7FAB1BA-A901-4AD4-80C6-D4887F4FB00B}">
          <x14:formula1>
            <xm:f>values!$AS$3:$AS$5</xm:f>
          </x14:formula1>
          <xm:sqref>B150:B152</xm:sqref>
        </x14:dataValidation>
        <x14:dataValidation type="list" allowBlank="1" showInputMessage="1" showErrorMessage="1" xr:uid="{A681802E-F6DD-4EC7-AE19-C3C1827EE906}">
          <x14:formula1>
            <xm:f>values!$AU$3:$AU$8</xm:f>
          </x14:formula1>
          <xm:sqref>F21:G29</xm:sqref>
        </x14:dataValidation>
        <x14:dataValidation type="list" allowBlank="1" showInputMessage="1" showErrorMessage="1" xr:uid="{A8C1EBAB-03C6-4E4A-829D-3F14A489F39A}">
          <x14:formula1>
            <xm:f>values!$AM$3:$AM$7</xm:f>
          </x14:formula1>
          <xm:sqref>C303:C305</xm:sqref>
        </x14:dataValidation>
        <x14:dataValidation type="list" allowBlank="1" showInputMessage="1" showErrorMessage="1" xr:uid="{E3378C5F-9DDF-43E7-A5BF-651A1C951F62}">
          <x14:formula1>
            <xm:f>values!$A$5:$A$11</xm:f>
          </x14:formula1>
          <xm:sqref>D106:D114 D114</xm:sqref>
        </x14:dataValidation>
        <x14:dataValidation type="list" allowBlank="1" showInputMessage="1" showErrorMessage="1" xr:uid="{B493E8C9-1197-4A33-8A8A-6CCB918B7111}">
          <x14:formula1>
            <xm:f>values!$AQ$3:$AQ$9</xm:f>
          </x14:formula1>
          <xm:sqref>A62:A63</xm:sqref>
        </x14:dataValidation>
        <x14:dataValidation type="list" allowBlank="1" showInputMessage="1" showErrorMessage="1" xr:uid="{D6B3A715-2695-4604-856D-3B4AF439EDCB}">
          <x14:formula1>
            <xm:f>values!$Z$4:$Z$5</xm:f>
          </x14:formula1>
          <xm:sqref>A132</xm:sqref>
        </x14:dataValidation>
        <x14:dataValidation type="list" allowBlank="1" showInputMessage="1" showErrorMessage="1" xr:uid="{0B017BE4-5549-4F8B-9885-4CD3E0083ECA}">
          <x14:formula1>
            <xm:f>values!$AQ$10:$AQ$11</xm:f>
          </x14:formula1>
          <xm:sqref>C41:C43 J42 G41:G43</xm:sqref>
        </x14:dataValidation>
        <x14:dataValidation type="list" allowBlank="1" showInputMessage="1" showErrorMessage="1" xr:uid="{BC098DB6-7175-4925-AADC-92FB3557D2DD}">
          <x14:formula1>
            <xm:f>values!$AQ$13:$AQ$16</xm:f>
          </x14:formula1>
          <xm:sqref>J41</xm:sqref>
        </x14:dataValidation>
        <x14:dataValidation type="list" allowBlank="1" showInputMessage="1" showErrorMessage="1" xr:uid="{80D19E68-C9E9-4ED6-B1D3-37750EDAAD84}">
          <x14:formula1>
            <xm:f>values!$D$6:$D$9</xm:f>
          </x14:formula1>
          <xm:sqref>E109:E114 E114</xm:sqref>
        </x14:dataValidation>
        <x14:dataValidation type="list" allowBlank="1" showInputMessage="1" showErrorMessage="1" xr:uid="{59A5D39F-2937-4F4B-B4ED-48119F29D5CA}">
          <x14:formula1>
            <xm:f>values!$AI$8:$AI$9</xm:f>
          </x14:formula1>
          <xm:sqref>G127:H127</xm:sqref>
        </x14:dataValidation>
        <x14:dataValidation type="list" allowBlank="1" showInputMessage="1" showErrorMessage="1" xr:uid="{E5725776-F091-4D25-AB51-820415573A0E}">
          <x14:formula1>
            <xm:f>values!$D$5:$D$9</xm:f>
          </x14:formula1>
          <xm:sqref>E106:E107</xm:sqref>
        </x14:dataValidation>
        <x14:dataValidation type="list" allowBlank="1" showInputMessage="1" showErrorMessage="1" xr:uid="{6387D20F-2730-4A47-8DD8-2F1064D4FFCD}">
          <x14:formula1>
            <xm:f>values!$AU$4:$AU$5</xm:f>
          </x14:formula1>
          <xm:sqref>C7</xm:sqref>
        </x14:dataValidation>
        <x14:dataValidation type="list" allowBlank="1" showInputMessage="1" showErrorMessage="1" xr:uid="{AC81EA41-149E-4FFD-BB7B-0B1F94F4193B}">
          <x14:formula1>
            <xm:f>values!$AD$4:$AD$13</xm:f>
          </x14:formula1>
          <xm:sqref>H3:I3</xm:sqref>
        </x14:dataValidation>
        <x14:dataValidation type="list" allowBlank="1" showInputMessage="1" showErrorMessage="1" xr:uid="{8BC60790-C568-46D0-BE71-7C743FEA953B}">
          <x14:formula1>
            <xm:f>values!$T$3:$T$8</xm:f>
          </x14:formula1>
          <xm:sqref>D121:D122</xm:sqref>
        </x14:dataValidation>
        <x14:dataValidation type="list" allowBlank="1" showInputMessage="1" showErrorMessage="1" xr:uid="{808D15BF-FA10-4D33-AB9A-B8E3C7667B5F}">
          <x14:formula1>
            <xm:f>values!$T$4</xm:f>
          </x14:formula1>
          <xm:sqref>D120</xm:sqref>
        </x14:dataValidation>
        <x14:dataValidation type="list" allowBlank="1" showInputMessage="1" showErrorMessage="1" xr:uid="{2D650B21-D765-4593-BD68-A49C2D68B486}">
          <x14:formula1>
            <xm:f>values!$BA$3:$BA$17</xm:f>
          </x14:formula1>
          <xm:sqref>H17:I18</xm:sqref>
        </x14:dataValidation>
        <x14:dataValidation type="list" allowBlank="1" showInputMessage="1" showErrorMessage="1" xr:uid="{3A41EBFC-9034-4BA9-AF47-0887B5F704ED}">
          <x14:formula1>
            <xm:f>values!$P$7</xm:f>
          </x14:formula1>
          <xm:sqref>J117</xm:sqref>
        </x14:dataValidation>
        <x14:dataValidation type="list" allowBlank="1" showInputMessage="1" showErrorMessage="1" xr:uid="{5027947D-E20B-412B-8148-D09E24C80BE8}">
          <x14:formula1>
            <xm:f>values!$BB$1:$BB$50</xm:f>
          </x14:formula1>
          <xm:sqref>A14:D16</xm:sqref>
        </x14:dataValidation>
        <x14:dataValidation type="list" allowBlank="1" showInputMessage="1" showErrorMessage="1" xr:uid="{D05938C9-1529-42FE-A080-4A743FF2512F}">
          <x14:formula1>
            <xm:f>values!$AI$5:$AI$27</xm:f>
          </x14:formula1>
          <xm:sqref>B127:C129</xm:sqref>
        </x14:dataValidation>
        <x14:dataValidation type="list" allowBlank="1" showInputMessage="1" showErrorMessage="1" xr:uid="{5FA3CAA3-F4A0-4040-8137-7BB222FD6504}">
          <x14:formula1>
            <xm:f>values!$AW$3:$AW$48</xm:f>
          </x14:formula1>
          <xm:sqref>E9:I9</xm:sqref>
        </x14:dataValidation>
        <x14:dataValidation type="list" allowBlank="1" showInputMessage="1" showErrorMessage="1" xr:uid="{D76E709E-59D4-47F0-AEF4-A85FEBB07F1F}">
          <x14:formula1>
            <xm:f>values!$G$4:$G$6</xm:f>
          </x14:formula1>
          <xm:sqref>I114</xm:sqref>
        </x14:dataValidation>
        <x14:dataValidation type="list" allowBlank="1" showInputMessage="1" showErrorMessage="1" xr:uid="{71BB11F8-6965-4EC4-8367-775957109FF4}">
          <x14:formula1>
            <xm:f>values!$G$4:$G$7</xm:f>
          </x14:formula1>
          <xm:sqref>I106:I113</xm:sqref>
        </x14:dataValidation>
        <x14:dataValidation type="list" allowBlank="1" showInputMessage="1" showErrorMessage="1" xr:uid="{6984DD97-2960-47AD-A04F-36E317C5CD07}">
          <x14:formula1>
            <xm:f>values!$J$4:$J$17</xm:f>
          </x14:formula1>
          <xm:sqref>F106:F107 F112 F109:F110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B74D-D9C2-49F1-B060-2B9D8B6DBBC5}">
  <sheetPr codeName="Sheet2"/>
  <dimension ref="A3:J34"/>
  <sheetViews>
    <sheetView showGridLines="0" view="pageLayout" zoomScaleNormal="100" workbookViewId="0">
      <selection activeCell="K5" sqref="K5"/>
    </sheetView>
  </sheetViews>
  <sheetFormatPr defaultColWidth="9.21875" defaultRowHeight="14.4" x14ac:dyDescent="0.3"/>
  <cols>
    <col min="1" max="16384" width="9.21875" style="1"/>
  </cols>
  <sheetData>
    <row r="3" spans="1:10" x14ac:dyDescent="0.3">
      <c r="A3" s="343" t="s">
        <v>14</v>
      </c>
      <c r="B3" s="343"/>
      <c r="C3" s="343"/>
      <c r="D3" s="343"/>
      <c r="E3" s="343"/>
      <c r="F3" s="343"/>
      <c r="G3" s="343"/>
      <c r="H3" s="343"/>
      <c r="I3" s="343"/>
      <c r="J3" s="343"/>
    </row>
    <row r="4" spans="1:10" x14ac:dyDescent="0.3">
      <c r="A4" s="343" t="s">
        <v>15</v>
      </c>
      <c r="B4" s="343"/>
      <c r="C4" s="343"/>
      <c r="D4" s="343"/>
      <c r="E4" s="343"/>
      <c r="F4" s="343"/>
      <c r="G4" s="343"/>
      <c r="H4" s="343"/>
      <c r="I4" s="343"/>
      <c r="J4" s="343"/>
    </row>
    <row r="5" spans="1:10" x14ac:dyDescent="0.3">
      <c r="A5" s="343" t="s">
        <v>16</v>
      </c>
      <c r="B5" s="343"/>
      <c r="C5" s="343"/>
      <c r="D5" s="343"/>
      <c r="E5" s="343"/>
      <c r="F5" s="343"/>
      <c r="G5" s="343"/>
      <c r="H5" s="343"/>
      <c r="I5" s="343"/>
      <c r="J5" s="343"/>
    </row>
    <row r="6" spans="1:10" x14ac:dyDescent="0.3">
      <c r="A6" s="344" t="s">
        <v>60</v>
      </c>
      <c r="B6" s="343"/>
      <c r="C6" s="343"/>
      <c r="D6" s="343"/>
      <c r="E6" s="343"/>
      <c r="F6" s="343"/>
      <c r="G6" s="343"/>
      <c r="H6" s="343"/>
      <c r="I6" s="343"/>
      <c r="J6" s="343"/>
    </row>
    <row r="8" spans="1:10" x14ac:dyDescent="0.3">
      <c r="A8" s="343" t="s">
        <v>17</v>
      </c>
      <c r="B8" s="343"/>
      <c r="C8" s="343"/>
      <c r="D8" s="343"/>
      <c r="E8" s="343"/>
      <c r="F8" s="343"/>
      <c r="G8" s="343"/>
      <c r="H8" s="343"/>
      <c r="I8" s="343"/>
      <c r="J8" s="343"/>
    </row>
    <row r="9" spans="1:10" x14ac:dyDescent="0.3">
      <c r="A9" s="343" t="s">
        <v>18</v>
      </c>
      <c r="B9" s="343"/>
      <c r="C9" s="343"/>
      <c r="D9" s="343"/>
      <c r="E9" s="343"/>
      <c r="F9" s="343"/>
      <c r="G9" s="343"/>
      <c r="H9" s="343"/>
      <c r="I9" s="343"/>
      <c r="J9" s="343"/>
    </row>
    <row r="10" spans="1:10" x14ac:dyDescent="0.3">
      <c r="A10" s="343" t="s">
        <v>19</v>
      </c>
      <c r="B10" s="343"/>
      <c r="C10" s="343"/>
      <c r="D10" s="343"/>
      <c r="E10" s="343"/>
      <c r="F10" s="343"/>
      <c r="G10" s="343"/>
      <c r="H10" s="343"/>
      <c r="I10" s="343"/>
      <c r="J10" s="343"/>
    </row>
    <row r="11" spans="1:10" x14ac:dyDescent="0.3">
      <c r="A11" s="343" t="s">
        <v>20</v>
      </c>
      <c r="B11" s="343"/>
      <c r="C11" s="343"/>
      <c r="D11" s="343"/>
      <c r="E11" s="343"/>
      <c r="F11" s="343"/>
      <c r="G11" s="343"/>
      <c r="H11" s="343"/>
      <c r="I11" s="343"/>
      <c r="J11" s="343"/>
    </row>
    <row r="12" spans="1:10" x14ac:dyDescent="0.3">
      <c r="A12" s="343" t="s">
        <v>813</v>
      </c>
      <c r="B12" s="343"/>
      <c r="C12" s="343"/>
      <c r="D12" s="343"/>
      <c r="E12" s="343"/>
      <c r="F12" s="343"/>
      <c r="G12" s="343"/>
      <c r="H12" s="343"/>
      <c r="I12" s="343"/>
      <c r="J12" s="343"/>
    </row>
    <row r="13" spans="1:10" x14ac:dyDescent="0.3">
      <c r="A13" s="343" t="s">
        <v>21</v>
      </c>
      <c r="B13" s="343"/>
      <c r="C13" s="343"/>
      <c r="D13" s="343"/>
      <c r="E13" s="343"/>
      <c r="F13" s="343"/>
      <c r="G13" s="343"/>
      <c r="H13" s="343"/>
      <c r="I13" s="343"/>
      <c r="J13" s="343"/>
    </row>
    <row r="15" spans="1:10" x14ac:dyDescent="0.3">
      <c r="A15" s="343" t="s">
        <v>22</v>
      </c>
      <c r="B15" s="343"/>
      <c r="C15" s="343"/>
      <c r="D15" s="343"/>
      <c r="E15" s="343"/>
      <c r="F15" s="343"/>
      <c r="G15" s="343"/>
      <c r="H15" s="343"/>
      <c r="I15" s="343"/>
      <c r="J15" s="343"/>
    </row>
    <row r="16" spans="1:10" x14ac:dyDescent="0.3">
      <c r="A16" s="343" t="s">
        <v>23</v>
      </c>
      <c r="B16" s="343"/>
      <c r="C16" s="343"/>
      <c r="D16" s="343"/>
      <c r="E16" s="343"/>
      <c r="F16" s="343"/>
      <c r="G16" s="343"/>
      <c r="H16" s="343"/>
      <c r="I16" s="343"/>
      <c r="J16" s="343"/>
    </row>
    <row r="17" spans="1:10" x14ac:dyDescent="0.3">
      <c r="A17" s="343" t="s">
        <v>24</v>
      </c>
      <c r="B17" s="343"/>
      <c r="C17" s="343"/>
      <c r="D17" s="343"/>
      <c r="E17" s="343"/>
      <c r="F17" s="343"/>
      <c r="G17" s="343"/>
      <c r="H17" s="343"/>
      <c r="I17" s="343"/>
      <c r="J17" s="343"/>
    </row>
    <row r="19" spans="1:10" x14ac:dyDescent="0.3">
      <c r="A19" s="345" t="s">
        <v>25</v>
      </c>
      <c r="B19" s="346"/>
      <c r="C19" s="346"/>
      <c r="D19" s="346"/>
      <c r="E19" s="346"/>
      <c r="F19" s="346"/>
      <c r="G19" s="346"/>
      <c r="H19" s="346"/>
      <c r="I19" s="346"/>
      <c r="J19" s="347"/>
    </row>
    <row r="20" spans="1:10" x14ac:dyDescent="0.3">
      <c r="A20" s="343" t="s">
        <v>26</v>
      </c>
      <c r="B20" s="343"/>
      <c r="C20" s="343"/>
      <c r="D20" s="343"/>
      <c r="E20" s="343"/>
      <c r="F20" s="343"/>
      <c r="G20" s="343"/>
      <c r="H20" s="343"/>
      <c r="I20" s="343"/>
      <c r="J20" s="343"/>
    </row>
    <row r="21" spans="1:10" x14ac:dyDescent="0.3">
      <c r="A21" s="343" t="s">
        <v>27</v>
      </c>
      <c r="B21" s="343"/>
      <c r="C21" s="343"/>
      <c r="D21" s="343"/>
      <c r="E21" s="343"/>
      <c r="F21" s="343"/>
      <c r="G21" s="343"/>
      <c r="H21" s="343"/>
      <c r="I21" s="343"/>
      <c r="J21" s="343"/>
    </row>
    <row r="22" spans="1:10" x14ac:dyDescent="0.3">
      <c r="A22" s="343" t="s">
        <v>28</v>
      </c>
      <c r="B22" s="343"/>
      <c r="C22" s="343"/>
      <c r="D22" s="343"/>
      <c r="E22" s="343"/>
      <c r="F22" s="343"/>
      <c r="G22" s="343"/>
      <c r="H22" s="343"/>
      <c r="I22" s="343"/>
      <c r="J22" s="343"/>
    </row>
    <row r="24" spans="1:10" x14ac:dyDescent="0.3">
      <c r="A24" s="343" t="s">
        <v>29</v>
      </c>
      <c r="B24" s="343"/>
      <c r="C24" s="343"/>
      <c r="D24" s="343"/>
      <c r="E24" s="343"/>
      <c r="F24" s="343"/>
      <c r="G24" s="343"/>
      <c r="H24" s="343"/>
      <c r="I24" s="343"/>
      <c r="J24" s="343"/>
    </row>
    <row r="26" spans="1:10" x14ac:dyDescent="0.3">
      <c r="A26" s="343" t="s">
        <v>30</v>
      </c>
      <c r="B26" s="343"/>
      <c r="C26" s="343"/>
      <c r="D26" s="343"/>
      <c r="E26" s="343"/>
      <c r="F26" s="343"/>
      <c r="G26" s="343"/>
      <c r="H26" s="343"/>
      <c r="I26" s="343"/>
      <c r="J26" s="343"/>
    </row>
    <row r="29" spans="1:10" ht="30" customHeight="1" x14ac:dyDescent="0.3">
      <c r="A29" s="341" t="s">
        <v>10</v>
      </c>
      <c r="B29" s="341"/>
      <c r="C29" s="341"/>
      <c r="D29" s="341"/>
      <c r="E29" s="341"/>
      <c r="F29" s="341"/>
      <c r="G29" s="341"/>
      <c r="H29" s="341"/>
      <c r="I29" s="341"/>
      <c r="J29" s="341"/>
    </row>
    <row r="30" spans="1:10" x14ac:dyDescent="0.3">
      <c r="A30" s="342" t="s">
        <v>11</v>
      </c>
      <c r="B30" s="342"/>
      <c r="C30" s="342"/>
      <c r="D30" s="342"/>
      <c r="E30" s="342"/>
      <c r="F30" s="342"/>
      <c r="G30" s="342"/>
      <c r="H30" s="342"/>
      <c r="I30" s="342"/>
      <c r="J30" s="342"/>
    </row>
    <row r="31" spans="1:10" x14ac:dyDescent="0.3">
      <c r="A31" s="342" t="s">
        <v>9</v>
      </c>
      <c r="B31" s="342"/>
      <c r="C31" s="342"/>
      <c r="D31" s="342"/>
      <c r="E31" s="342"/>
      <c r="F31" s="342"/>
      <c r="G31" s="342"/>
      <c r="H31" s="342"/>
      <c r="I31" s="342"/>
      <c r="J31" s="342"/>
    </row>
    <row r="34" spans="1:1" x14ac:dyDescent="0.3">
      <c r="A34" s="1" t="s">
        <v>32</v>
      </c>
    </row>
  </sheetData>
  <sheetProtection selectLockedCells="1" selectUnlockedCells="1"/>
  <mergeCells count="22">
    <mergeCell ref="A24:J24"/>
    <mergeCell ref="A19:J19"/>
    <mergeCell ref="A17:J17"/>
    <mergeCell ref="A20:J20"/>
    <mergeCell ref="A21:J21"/>
    <mergeCell ref="A22:J22"/>
    <mergeCell ref="A29:J29"/>
    <mergeCell ref="A31:J31"/>
    <mergeCell ref="A30:J30"/>
    <mergeCell ref="A3:J3"/>
    <mergeCell ref="A4:J4"/>
    <mergeCell ref="A5:J5"/>
    <mergeCell ref="A6:J6"/>
    <mergeCell ref="A8:J8"/>
    <mergeCell ref="A9:J9"/>
    <mergeCell ref="A10:J10"/>
    <mergeCell ref="A26:J26"/>
    <mergeCell ref="A11:J11"/>
    <mergeCell ref="A12:J12"/>
    <mergeCell ref="A13:J13"/>
    <mergeCell ref="A15:J15"/>
    <mergeCell ref="A16:J16"/>
  </mergeCells>
  <pageMargins left="0.3125" right="0.7" top="0.75" bottom="0.75" header="0.3" footer="0.3"/>
  <pageSetup paperSize="9" orientation="portrait" r:id="rId1"/>
  <headerFooter>
    <oddHeader>&amp;L&amp;G&amp;C&amp;"-,Bold"Checklist Fotodocumentatie&amp;R&amp;G</oddHeader>
    <oddFooter>&amp;C&amp;F&amp;RPagina &amp;P -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63E1-1AF0-4E14-AA8F-5C58DAEE52BB}">
  <sheetPr codeName="Sheet4"/>
  <dimension ref="A1:BH257"/>
  <sheetViews>
    <sheetView topLeftCell="A2" zoomScale="85" zoomScaleNormal="85" workbookViewId="0">
      <selection activeCell="I17" sqref="I17"/>
    </sheetView>
  </sheetViews>
  <sheetFormatPr defaultRowHeight="14.4" x14ac:dyDescent="0.3"/>
  <cols>
    <col min="1" max="1" width="14.6640625" customWidth="1"/>
    <col min="2" max="2" width="1.5546875" customWidth="1"/>
    <col min="3" max="3" width="10.21875" customWidth="1"/>
    <col min="4" max="4" width="10" customWidth="1"/>
    <col min="5" max="5" width="1.5546875" customWidth="1"/>
    <col min="6" max="6" width="12" bestFit="1" customWidth="1"/>
    <col min="7" max="7" width="11.21875" bestFit="1" customWidth="1"/>
    <col min="8" max="8" width="1.5546875" customWidth="1"/>
    <col min="10" max="10" width="12.6640625" customWidth="1"/>
    <col min="11" max="11" width="1.5546875" customWidth="1"/>
    <col min="12" max="12" width="10.109375" customWidth="1"/>
    <col min="13" max="13" width="1.5546875" customWidth="1"/>
    <col min="15" max="15" width="11.21875" customWidth="1"/>
    <col min="16" max="16" width="11" customWidth="1"/>
    <col min="17" max="17" width="1.44140625" customWidth="1"/>
    <col min="18" max="18" width="11" customWidth="1"/>
    <col min="19" max="19" width="1.5546875" customWidth="1"/>
    <col min="21" max="21" width="1.5546875" customWidth="1"/>
    <col min="23" max="23" width="1.5546875" customWidth="1"/>
    <col min="25" max="25" width="1.5546875" customWidth="1"/>
    <col min="27" max="27" width="1.5546875" customWidth="1"/>
    <col min="28" max="28" width="16" bestFit="1" customWidth="1"/>
    <col min="29" max="29" width="1.5546875" customWidth="1"/>
    <col min="30" max="30" width="18.5546875" bestFit="1" customWidth="1"/>
    <col min="31" max="31" width="1.5546875" customWidth="1"/>
    <col min="33" max="33" width="1.5546875" customWidth="1"/>
    <col min="34" max="34" width="46.6640625" customWidth="1"/>
    <col min="35" max="35" width="41.6640625" bestFit="1" customWidth="1"/>
    <col min="36" max="36" width="1.5546875" customWidth="1"/>
    <col min="38" max="38" width="1.5546875" customWidth="1"/>
    <col min="39" max="39" width="13.21875" customWidth="1"/>
    <col min="40" max="40" width="1.5546875" customWidth="1"/>
    <col min="42" max="42" width="2.33203125" customWidth="1"/>
    <col min="43" max="43" width="13.44140625" customWidth="1"/>
    <col min="44" max="44" width="1.5546875" customWidth="1"/>
    <col min="46" max="46" width="1.5546875" customWidth="1"/>
    <col min="47" max="47" width="16.44140625" bestFit="1" customWidth="1"/>
    <col min="48" max="48" width="1.5546875" customWidth="1"/>
    <col min="49" max="49" width="62.44140625" customWidth="1"/>
    <col min="50" max="50" width="14.44140625" customWidth="1"/>
    <col min="51" max="51" width="55.21875" bestFit="1" customWidth="1"/>
    <col min="52" max="52" width="1.5546875" customWidth="1"/>
    <col min="53" max="53" width="19.109375" bestFit="1" customWidth="1"/>
    <col min="54" max="54" width="19.77734375" bestFit="1" customWidth="1"/>
    <col min="55" max="55" width="13.33203125" bestFit="1" customWidth="1"/>
    <col min="56" max="56" width="13.33203125" customWidth="1"/>
    <col min="57" max="57" width="1.5546875" customWidth="1"/>
    <col min="58" max="58" width="13.33203125" customWidth="1"/>
    <col min="59" max="59" width="1.33203125" customWidth="1"/>
    <col min="60" max="60" width="25.88671875" customWidth="1"/>
  </cols>
  <sheetData>
    <row r="1" spans="1:60" s="68" customFormat="1" ht="57.6" x14ac:dyDescent="0.3">
      <c r="A1" s="81" t="s">
        <v>77</v>
      </c>
      <c r="B1" s="82"/>
      <c r="C1" s="82" t="s">
        <v>515</v>
      </c>
      <c r="D1" s="82" t="s">
        <v>516</v>
      </c>
      <c r="E1" s="82"/>
      <c r="F1" s="82" t="s">
        <v>788</v>
      </c>
      <c r="G1" s="82" t="s">
        <v>792</v>
      </c>
      <c r="H1" s="82"/>
      <c r="I1" s="82" t="s">
        <v>514</v>
      </c>
      <c r="J1" s="82" t="s">
        <v>517</v>
      </c>
      <c r="K1" s="82"/>
      <c r="L1" s="82" t="s">
        <v>78</v>
      </c>
      <c r="M1" s="82"/>
      <c r="N1" s="82" t="s">
        <v>46</v>
      </c>
      <c r="O1" s="82" t="s">
        <v>640</v>
      </c>
      <c r="P1" s="82" t="s">
        <v>719</v>
      </c>
      <c r="Q1" s="82"/>
      <c r="R1" s="82" t="s">
        <v>878</v>
      </c>
      <c r="S1" s="82"/>
      <c r="T1" s="82" t="s">
        <v>825</v>
      </c>
      <c r="U1" s="82"/>
      <c r="V1" s="82" t="s">
        <v>48</v>
      </c>
      <c r="W1" s="82"/>
      <c r="X1" s="82" t="s">
        <v>40</v>
      </c>
      <c r="Y1" s="82"/>
      <c r="Z1" s="82" t="s">
        <v>67</v>
      </c>
      <c r="AA1" s="82"/>
      <c r="AB1" s="82" t="s">
        <v>376</v>
      </c>
      <c r="AC1" s="82"/>
      <c r="AD1" s="82" t="s">
        <v>106</v>
      </c>
      <c r="AE1" s="82"/>
      <c r="AF1" s="82" t="s">
        <v>68</v>
      </c>
      <c r="AG1" s="82"/>
      <c r="AH1" s="82" t="s">
        <v>512</v>
      </c>
      <c r="AI1" s="82" t="s">
        <v>513</v>
      </c>
      <c r="AJ1" s="82"/>
      <c r="AK1" s="82" t="s">
        <v>404</v>
      </c>
      <c r="AL1" s="82"/>
      <c r="AM1" s="82" t="s">
        <v>408</v>
      </c>
      <c r="AN1" s="82"/>
      <c r="AO1" s="82" t="s">
        <v>446</v>
      </c>
      <c r="AP1" s="82"/>
      <c r="AQ1" s="82" t="s">
        <v>461</v>
      </c>
      <c r="AR1" s="82"/>
      <c r="AS1" s="82" t="s">
        <v>503</v>
      </c>
      <c r="AT1" s="82"/>
      <c r="AU1" s="82" t="s">
        <v>528</v>
      </c>
      <c r="AV1" s="82"/>
      <c r="AW1" s="82" t="s">
        <v>784</v>
      </c>
      <c r="AX1" s="82" t="s">
        <v>584</v>
      </c>
      <c r="AY1" s="82" t="s">
        <v>674</v>
      </c>
      <c r="AZ1" s="82"/>
      <c r="BA1" s="82" t="s">
        <v>586</v>
      </c>
      <c r="BB1" s="82" t="s">
        <v>616</v>
      </c>
      <c r="BC1" s="82" t="s">
        <v>615</v>
      </c>
      <c r="BD1" s="82" t="s">
        <v>586</v>
      </c>
      <c r="BE1" s="82"/>
      <c r="BF1" s="82"/>
      <c r="BG1" s="82"/>
      <c r="BH1" s="82" t="s">
        <v>714</v>
      </c>
    </row>
    <row r="2" spans="1:60" x14ac:dyDescent="0.3">
      <c r="A2" s="3"/>
      <c r="BH2" t="s">
        <v>715</v>
      </c>
    </row>
    <row r="3" spans="1:60" x14ac:dyDescent="0.3">
      <c r="A3" s="3"/>
      <c r="C3" s="3"/>
      <c r="D3" s="3"/>
      <c r="F3" s="3"/>
      <c r="G3" s="3"/>
      <c r="I3" s="3"/>
      <c r="J3" s="3"/>
      <c r="L3" s="3"/>
      <c r="N3" s="3"/>
      <c r="O3" s="3"/>
      <c r="P3" s="3"/>
      <c r="Q3" s="3"/>
      <c r="R3" s="3"/>
      <c r="T3" s="3"/>
      <c r="V3" s="3"/>
      <c r="X3" s="3"/>
      <c r="Z3" s="3"/>
      <c r="AB3" s="3"/>
      <c r="AD3" s="3"/>
      <c r="AF3" s="3"/>
      <c r="AH3" s="3">
        <v>739650</v>
      </c>
      <c r="AW3" s="129" t="s">
        <v>614</v>
      </c>
      <c r="AX3" s="130" t="s">
        <v>562</v>
      </c>
      <c r="AY3" s="130" t="s">
        <v>675</v>
      </c>
      <c r="BB3" t="s">
        <v>617</v>
      </c>
      <c r="BC3" t="s">
        <v>618</v>
      </c>
      <c r="BD3" t="s">
        <v>587</v>
      </c>
      <c r="BH3" t="s">
        <v>716</v>
      </c>
    </row>
    <row r="4" spans="1:60" x14ac:dyDescent="0.3">
      <c r="A4" s="3" t="s">
        <v>79</v>
      </c>
      <c r="C4" t="s">
        <v>80</v>
      </c>
      <c r="D4" t="s">
        <v>80</v>
      </c>
      <c r="F4" t="s">
        <v>789</v>
      </c>
      <c r="G4" t="s">
        <v>790</v>
      </c>
      <c r="I4" t="s">
        <v>103</v>
      </c>
      <c r="J4" s="80" t="s">
        <v>561</v>
      </c>
      <c r="L4" t="s">
        <v>82</v>
      </c>
      <c r="N4" t="s">
        <v>13</v>
      </c>
      <c r="O4">
        <v>78211471</v>
      </c>
      <c r="P4" t="s">
        <v>13</v>
      </c>
      <c r="R4">
        <v>4</v>
      </c>
      <c r="T4" t="s">
        <v>824</v>
      </c>
      <c r="V4" t="s">
        <v>13</v>
      </c>
      <c r="X4" t="s">
        <v>13</v>
      </c>
      <c r="Z4" t="s">
        <v>13</v>
      </c>
      <c r="AB4" t="s">
        <v>13</v>
      </c>
      <c r="AD4" t="s">
        <v>626</v>
      </c>
      <c r="AF4">
        <v>0</v>
      </c>
      <c r="AH4" t="s">
        <v>115</v>
      </c>
      <c r="AI4" t="s">
        <v>611</v>
      </c>
      <c r="AK4" t="s">
        <v>13</v>
      </c>
      <c r="AM4" t="s">
        <v>409</v>
      </c>
      <c r="AO4" t="s">
        <v>13</v>
      </c>
      <c r="AQ4" t="s">
        <v>596</v>
      </c>
      <c r="AS4" s="3">
        <v>300</v>
      </c>
      <c r="AU4" t="s">
        <v>802</v>
      </c>
      <c r="AW4" s="132" t="s">
        <v>804</v>
      </c>
      <c r="AX4" t="s">
        <v>844</v>
      </c>
      <c r="BA4" t="s">
        <v>769</v>
      </c>
      <c r="BB4" t="s">
        <v>738</v>
      </c>
      <c r="BC4" t="s">
        <v>618</v>
      </c>
      <c r="BD4" t="s">
        <v>587</v>
      </c>
      <c r="BH4" t="s">
        <v>717</v>
      </c>
    </row>
    <row r="5" spans="1:60" x14ac:dyDescent="0.3">
      <c r="A5" s="3">
        <v>6150</v>
      </c>
      <c r="C5" t="s">
        <v>83</v>
      </c>
      <c r="D5" t="s">
        <v>95</v>
      </c>
      <c r="F5" t="s">
        <v>790</v>
      </c>
      <c r="G5" t="s">
        <v>875</v>
      </c>
      <c r="I5" t="s">
        <v>104</v>
      </c>
      <c r="J5" s="80" t="s">
        <v>774</v>
      </c>
      <c r="L5" t="s">
        <v>85</v>
      </c>
      <c r="N5" t="s">
        <v>12</v>
      </c>
      <c r="P5" t="s">
        <v>12</v>
      </c>
      <c r="R5">
        <v>5</v>
      </c>
      <c r="T5" t="s">
        <v>47</v>
      </c>
      <c r="V5" t="s">
        <v>12</v>
      </c>
      <c r="X5" t="s">
        <v>12</v>
      </c>
      <c r="Z5" t="s">
        <v>12</v>
      </c>
      <c r="AB5" t="s">
        <v>12</v>
      </c>
      <c r="AD5" t="s">
        <v>765</v>
      </c>
      <c r="AF5">
        <v>1</v>
      </c>
      <c r="AH5" t="s">
        <v>116</v>
      </c>
      <c r="AI5" t="s">
        <v>115</v>
      </c>
      <c r="AK5" t="s">
        <v>12</v>
      </c>
      <c r="AM5" t="s">
        <v>410</v>
      </c>
      <c r="AO5" t="s">
        <v>12</v>
      </c>
      <c r="AQ5" t="s">
        <v>597</v>
      </c>
      <c r="AS5" s="3">
        <v>600</v>
      </c>
      <c r="AU5" t="s">
        <v>803</v>
      </c>
      <c r="AW5" s="146" t="s">
        <v>822</v>
      </c>
      <c r="AX5" s="131" t="s">
        <v>850</v>
      </c>
      <c r="BA5" t="s">
        <v>588</v>
      </c>
      <c r="BB5" t="s">
        <v>619</v>
      </c>
      <c r="BC5" t="s">
        <v>618</v>
      </c>
      <c r="BD5" t="s">
        <v>587</v>
      </c>
      <c r="BH5" t="s">
        <v>855</v>
      </c>
    </row>
    <row r="6" spans="1:60" x14ac:dyDescent="0.3">
      <c r="A6" s="3">
        <v>6201</v>
      </c>
      <c r="C6" t="s">
        <v>86</v>
      </c>
      <c r="D6" t="s">
        <v>745</v>
      </c>
      <c r="F6" t="s">
        <v>875</v>
      </c>
      <c r="G6" t="s">
        <v>791</v>
      </c>
      <c r="I6" t="s">
        <v>774</v>
      </c>
      <c r="J6" s="3" t="s">
        <v>782</v>
      </c>
      <c r="L6" t="s">
        <v>88</v>
      </c>
      <c r="N6" t="s">
        <v>89</v>
      </c>
      <c r="P6" t="s">
        <v>821</v>
      </c>
      <c r="R6">
        <v>6</v>
      </c>
      <c r="T6" t="s">
        <v>462</v>
      </c>
      <c r="V6" t="s">
        <v>89</v>
      </c>
      <c r="X6" t="s">
        <v>89</v>
      </c>
      <c r="AB6" t="s">
        <v>375</v>
      </c>
      <c r="AD6" t="s">
        <v>762</v>
      </c>
      <c r="AF6">
        <v>2</v>
      </c>
      <c r="AH6" t="s">
        <v>117</v>
      </c>
      <c r="AI6" t="s">
        <v>116</v>
      </c>
      <c r="AK6" t="s">
        <v>405</v>
      </c>
      <c r="AM6" t="s">
        <v>411</v>
      </c>
      <c r="AO6" t="s">
        <v>447</v>
      </c>
      <c r="AQ6" t="s">
        <v>599</v>
      </c>
      <c r="AU6" t="s">
        <v>375</v>
      </c>
      <c r="AW6" s="146" t="s">
        <v>849</v>
      </c>
      <c r="AX6" s="131" t="s">
        <v>848</v>
      </c>
      <c r="BA6" t="s">
        <v>589</v>
      </c>
      <c r="BB6" t="s">
        <v>776</v>
      </c>
      <c r="BC6" t="s">
        <v>618</v>
      </c>
      <c r="BD6" t="s">
        <v>587</v>
      </c>
    </row>
    <row r="7" spans="1:60" x14ac:dyDescent="0.3">
      <c r="A7" s="62" t="s">
        <v>636</v>
      </c>
      <c r="C7" t="s">
        <v>95</v>
      </c>
      <c r="D7" t="s">
        <v>756</v>
      </c>
      <c r="F7" t="s">
        <v>791</v>
      </c>
      <c r="I7" t="s">
        <v>561</v>
      </c>
      <c r="J7" t="s">
        <v>89</v>
      </c>
      <c r="L7" t="s">
        <v>92</v>
      </c>
      <c r="P7" t="s">
        <v>880</v>
      </c>
      <c r="T7" t="s">
        <v>90</v>
      </c>
      <c r="AB7" t="s">
        <v>384</v>
      </c>
      <c r="AD7" t="s">
        <v>764</v>
      </c>
      <c r="AF7">
        <v>3</v>
      </c>
      <c r="AH7" t="s">
        <v>118</v>
      </c>
      <c r="AI7" t="s">
        <v>117</v>
      </c>
      <c r="AM7" t="s">
        <v>428</v>
      </c>
      <c r="AQ7" t="s">
        <v>601</v>
      </c>
      <c r="AU7" t="s">
        <v>529</v>
      </c>
      <c r="AW7" s="132" t="s">
        <v>826</v>
      </c>
      <c r="AX7" s="131" t="s">
        <v>563</v>
      </c>
      <c r="BA7" t="s">
        <v>749</v>
      </c>
      <c r="BB7" s="145" t="s">
        <v>766</v>
      </c>
      <c r="BC7" t="s">
        <v>618</v>
      </c>
      <c r="BD7" t="s">
        <v>587</v>
      </c>
    </row>
    <row r="8" spans="1:60" x14ac:dyDescent="0.3">
      <c r="A8" s="146" t="s">
        <v>780</v>
      </c>
      <c r="C8" t="s">
        <v>745</v>
      </c>
      <c r="D8" t="s">
        <v>819</v>
      </c>
      <c r="I8">
        <v>2012</v>
      </c>
      <c r="J8">
        <v>2012</v>
      </c>
      <c r="L8" t="s">
        <v>94</v>
      </c>
      <c r="T8" t="s">
        <v>89</v>
      </c>
      <c r="AD8" t="s">
        <v>628</v>
      </c>
      <c r="AF8">
        <v>4</v>
      </c>
      <c r="AH8" t="s">
        <v>119</v>
      </c>
      <c r="AI8" s="3" t="s">
        <v>774</v>
      </c>
      <c r="AQ8" t="s">
        <v>602</v>
      </c>
      <c r="AU8" t="s">
        <v>530</v>
      </c>
      <c r="AW8" s="132" t="s">
        <v>827</v>
      </c>
      <c r="AX8" s="131" t="s">
        <v>676</v>
      </c>
      <c r="AY8" s="131" t="s">
        <v>666</v>
      </c>
      <c r="BA8" t="s">
        <v>587</v>
      </c>
      <c r="BB8" t="s">
        <v>741</v>
      </c>
      <c r="BC8" t="s">
        <v>618</v>
      </c>
      <c r="BD8" t="s">
        <v>587</v>
      </c>
    </row>
    <row r="9" spans="1:60" x14ac:dyDescent="0.3">
      <c r="A9" s="3" t="s">
        <v>180</v>
      </c>
      <c r="C9" s="61" t="s">
        <v>556</v>
      </c>
      <c r="D9" t="s">
        <v>89</v>
      </c>
      <c r="I9">
        <v>2212</v>
      </c>
      <c r="J9">
        <v>2242</v>
      </c>
      <c r="L9" t="s">
        <v>97</v>
      </c>
      <c r="P9" t="s">
        <v>89</v>
      </c>
      <c r="AD9" t="s">
        <v>763</v>
      </c>
      <c r="AF9">
        <v>5</v>
      </c>
      <c r="AH9" t="s">
        <v>120</v>
      </c>
      <c r="AI9" s="3" t="s">
        <v>782</v>
      </c>
      <c r="AQ9" t="s">
        <v>598</v>
      </c>
      <c r="AW9" s="146" t="s">
        <v>856</v>
      </c>
      <c r="AX9" s="131" t="s">
        <v>845</v>
      </c>
      <c r="BA9" t="s">
        <v>590</v>
      </c>
      <c r="BB9" t="s">
        <v>620</v>
      </c>
      <c r="BC9" t="s">
        <v>618</v>
      </c>
      <c r="BD9" t="s">
        <v>587</v>
      </c>
    </row>
    <row r="10" spans="1:60" x14ac:dyDescent="0.3">
      <c r="A10" s="3" t="s">
        <v>105</v>
      </c>
      <c r="C10" t="s">
        <v>756</v>
      </c>
      <c r="I10">
        <v>2217</v>
      </c>
      <c r="J10">
        <v>2260</v>
      </c>
      <c r="L10" t="s">
        <v>98</v>
      </c>
      <c r="AH10" t="s">
        <v>356</v>
      </c>
      <c r="AI10" t="s">
        <v>352</v>
      </c>
      <c r="AQ10" t="s">
        <v>13</v>
      </c>
      <c r="AW10" s="146" t="s">
        <v>857</v>
      </c>
      <c r="AX10" s="131" t="s">
        <v>846</v>
      </c>
      <c r="BA10" t="s">
        <v>594</v>
      </c>
      <c r="BB10" t="s">
        <v>621</v>
      </c>
      <c r="BC10" t="s">
        <v>618</v>
      </c>
      <c r="BD10" t="s">
        <v>587</v>
      </c>
    </row>
    <row r="11" spans="1:60" ht="15" thickBot="1" x14ac:dyDescent="0.35">
      <c r="A11" s="3" t="s">
        <v>347</v>
      </c>
      <c r="C11" t="s">
        <v>819</v>
      </c>
      <c r="I11">
        <v>2219</v>
      </c>
      <c r="J11">
        <v>2460</v>
      </c>
      <c r="L11" t="s">
        <v>99</v>
      </c>
      <c r="AH11" s="4" t="s">
        <v>103</v>
      </c>
      <c r="AI11" s="4" t="s">
        <v>351</v>
      </c>
      <c r="AQ11" t="s">
        <v>12</v>
      </c>
      <c r="AW11" s="146" t="s">
        <v>858</v>
      </c>
      <c r="AX11" s="131" t="s">
        <v>847</v>
      </c>
      <c r="BA11" t="s">
        <v>841</v>
      </c>
      <c r="BB11" s="145" t="s">
        <v>768</v>
      </c>
      <c r="BC11" t="s">
        <v>618</v>
      </c>
      <c r="BD11" t="s">
        <v>587</v>
      </c>
    </row>
    <row r="12" spans="1:60" x14ac:dyDescent="0.3">
      <c r="A12" s="3" t="s">
        <v>89</v>
      </c>
      <c r="C12" t="s">
        <v>100</v>
      </c>
      <c r="I12">
        <v>2242</v>
      </c>
      <c r="J12">
        <v>4020</v>
      </c>
      <c r="L12" t="s">
        <v>12</v>
      </c>
      <c r="AH12" s="4" t="s">
        <v>104</v>
      </c>
      <c r="AI12" t="s">
        <v>353</v>
      </c>
      <c r="AQ12" s="142"/>
      <c r="AW12" s="132" t="s">
        <v>828</v>
      </c>
      <c r="AX12" s="131" t="s">
        <v>564</v>
      </c>
      <c r="BA12" t="s">
        <v>816</v>
      </c>
      <c r="BB12" t="s">
        <v>622</v>
      </c>
      <c r="BC12" t="s">
        <v>618</v>
      </c>
      <c r="BD12" t="s">
        <v>587</v>
      </c>
    </row>
    <row r="13" spans="1:60" x14ac:dyDescent="0.3">
      <c r="A13" s="3"/>
      <c r="C13" t="s">
        <v>101</v>
      </c>
      <c r="I13">
        <v>2260</v>
      </c>
      <c r="J13">
        <v>4415</v>
      </c>
      <c r="L13" t="s">
        <v>89</v>
      </c>
      <c r="AH13" t="s">
        <v>774</v>
      </c>
      <c r="AI13" t="s">
        <v>557</v>
      </c>
      <c r="AQ13" s="143" t="s">
        <v>648</v>
      </c>
      <c r="AW13" s="132" t="s">
        <v>829</v>
      </c>
      <c r="AX13" s="131" t="s">
        <v>677</v>
      </c>
      <c r="AY13" s="131" t="s">
        <v>667</v>
      </c>
      <c r="BA13" t="s">
        <v>593</v>
      </c>
      <c r="BB13" t="s">
        <v>755</v>
      </c>
      <c r="BC13" t="s">
        <v>618</v>
      </c>
      <c r="BD13" t="s">
        <v>587</v>
      </c>
    </row>
    <row r="14" spans="1:60" x14ac:dyDescent="0.3">
      <c r="A14" s="3"/>
      <c r="C14" t="s">
        <v>89</v>
      </c>
      <c r="I14">
        <v>2460</v>
      </c>
      <c r="J14">
        <v>4471</v>
      </c>
      <c r="AH14" t="s">
        <v>561</v>
      </c>
      <c r="AI14" t="s">
        <v>348</v>
      </c>
      <c r="AQ14" s="143" t="s">
        <v>647</v>
      </c>
      <c r="AW14" s="132" t="s">
        <v>830</v>
      </c>
      <c r="AX14" s="131" t="s">
        <v>565</v>
      </c>
      <c r="BA14" t="s">
        <v>592</v>
      </c>
      <c r="BB14" t="s">
        <v>862</v>
      </c>
      <c r="BC14" t="s">
        <v>618</v>
      </c>
      <c r="BD14" t="s">
        <v>587</v>
      </c>
    </row>
    <row r="15" spans="1:60" x14ac:dyDescent="0.3">
      <c r="A15" s="3"/>
      <c r="I15">
        <v>4020</v>
      </c>
      <c r="J15">
        <v>4480</v>
      </c>
      <c r="AH15" t="s">
        <v>121</v>
      </c>
      <c r="AI15" t="s">
        <v>355</v>
      </c>
      <c r="AQ15" s="143" t="s">
        <v>649</v>
      </c>
      <c r="AW15" s="132" t="s">
        <v>831</v>
      </c>
      <c r="AX15" s="131" t="s">
        <v>566</v>
      </c>
      <c r="BA15" t="s">
        <v>591</v>
      </c>
      <c r="BB15" t="s">
        <v>623</v>
      </c>
      <c r="BC15" t="s">
        <v>618</v>
      </c>
      <c r="BD15" t="s">
        <v>587</v>
      </c>
    </row>
    <row r="16" spans="1:60" x14ac:dyDescent="0.3">
      <c r="A16" s="3"/>
      <c r="I16">
        <v>4415</v>
      </c>
      <c r="J16">
        <v>4490</v>
      </c>
      <c r="AH16" t="s">
        <v>122</v>
      </c>
      <c r="AI16" s="4" t="s">
        <v>354</v>
      </c>
      <c r="AQ16" s="143" t="s">
        <v>815</v>
      </c>
      <c r="AW16" s="132" t="s">
        <v>689</v>
      </c>
      <c r="AX16" s="131" t="s">
        <v>567</v>
      </c>
      <c r="BB16" t="s">
        <v>624</v>
      </c>
      <c r="BC16" t="s">
        <v>618</v>
      </c>
      <c r="BD16" t="s">
        <v>587</v>
      </c>
    </row>
    <row r="17" spans="1:56" ht="15" thickBot="1" x14ac:dyDescent="0.35">
      <c r="A17" s="61" t="s">
        <v>79</v>
      </c>
      <c r="I17">
        <v>4471</v>
      </c>
      <c r="J17" t="s">
        <v>89</v>
      </c>
      <c r="AH17" t="s">
        <v>123</v>
      </c>
      <c r="AI17" t="s">
        <v>159</v>
      </c>
      <c r="AK17" s="146"/>
      <c r="AQ17" s="144" t="s">
        <v>746</v>
      </c>
      <c r="AW17" s="132" t="s">
        <v>690</v>
      </c>
      <c r="AX17" s="131" t="s">
        <v>568</v>
      </c>
      <c r="BA17" t="s">
        <v>89</v>
      </c>
      <c r="BB17" t="s">
        <v>625</v>
      </c>
      <c r="BC17" t="s">
        <v>618</v>
      </c>
      <c r="BD17" t="s">
        <v>587</v>
      </c>
    </row>
    <row r="18" spans="1:56" x14ac:dyDescent="0.3">
      <c r="A18" s="62">
        <v>6150</v>
      </c>
      <c r="D18" s="61"/>
      <c r="F18" s="61"/>
      <c r="G18" s="61"/>
      <c r="I18">
        <v>4480</v>
      </c>
      <c r="AH18" t="s">
        <v>352</v>
      </c>
      <c r="AI18" s="146" t="s">
        <v>818</v>
      </c>
      <c r="AW18" s="132" t="s">
        <v>691</v>
      </c>
      <c r="AX18" s="131" t="s">
        <v>678</v>
      </c>
      <c r="AY18" s="131" t="s">
        <v>686</v>
      </c>
      <c r="BB18" s="145" t="s">
        <v>767</v>
      </c>
      <c r="BC18" t="s">
        <v>618</v>
      </c>
      <c r="BD18" t="s">
        <v>587</v>
      </c>
    </row>
    <row r="19" spans="1:56" x14ac:dyDescent="0.3">
      <c r="A19" s="62">
        <v>6201</v>
      </c>
      <c r="C19" s="61" t="s">
        <v>80</v>
      </c>
      <c r="D19" s="61"/>
      <c r="F19" s="61"/>
      <c r="G19" s="61"/>
      <c r="I19">
        <v>4490</v>
      </c>
      <c r="AH19" s="4" t="s">
        <v>351</v>
      </c>
      <c r="AI19" s="146" t="s">
        <v>817</v>
      </c>
      <c r="AW19" s="132" t="s">
        <v>805</v>
      </c>
      <c r="AX19" t="s">
        <v>783</v>
      </c>
      <c r="BB19" t="s">
        <v>626</v>
      </c>
      <c r="BC19" t="s">
        <v>627</v>
      </c>
      <c r="BD19" t="s">
        <v>587</v>
      </c>
    </row>
    <row r="20" spans="1:56" x14ac:dyDescent="0.3">
      <c r="A20" s="146" t="s">
        <v>780</v>
      </c>
      <c r="C20" s="61" t="s">
        <v>83</v>
      </c>
      <c r="D20" s="61"/>
      <c r="F20" s="61"/>
      <c r="G20" s="61"/>
      <c r="I20" t="s">
        <v>81</v>
      </c>
      <c r="AH20" t="s">
        <v>353</v>
      </c>
      <c r="AI20" s="146" t="s">
        <v>772</v>
      </c>
      <c r="AW20" s="146" t="s">
        <v>859</v>
      </c>
      <c r="AX20" s="131" t="s">
        <v>845</v>
      </c>
      <c r="BB20" t="s">
        <v>765</v>
      </c>
      <c r="BC20" t="s">
        <v>627</v>
      </c>
      <c r="BD20" t="s">
        <v>587</v>
      </c>
    </row>
    <row r="21" spans="1:56" x14ac:dyDescent="0.3">
      <c r="A21" s="62" t="s">
        <v>636</v>
      </c>
      <c r="C21" s="61" t="s">
        <v>86</v>
      </c>
      <c r="D21" s="61"/>
      <c r="F21" s="61"/>
      <c r="G21" s="61"/>
      <c r="I21" t="s">
        <v>84</v>
      </c>
      <c r="AH21" t="s">
        <v>557</v>
      </c>
      <c r="AI21" t="s">
        <v>642</v>
      </c>
      <c r="AW21" s="146" t="s">
        <v>860</v>
      </c>
      <c r="AX21" s="131" t="s">
        <v>846</v>
      </c>
      <c r="BB21" t="s">
        <v>762</v>
      </c>
      <c r="BC21" t="s">
        <v>627</v>
      </c>
      <c r="BD21" t="s">
        <v>587</v>
      </c>
    </row>
    <row r="22" spans="1:56" x14ac:dyDescent="0.3">
      <c r="A22" s="62">
        <v>3101</v>
      </c>
      <c r="C22" s="61" t="s">
        <v>493</v>
      </c>
      <c r="D22" s="61"/>
      <c r="F22" s="61"/>
      <c r="G22" s="61"/>
      <c r="I22" t="s">
        <v>87</v>
      </c>
      <c r="AH22" t="s">
        <v>348</v>
      </c>
      <c r="AI22" t="s">
        <v>775</v>
      </c>
      <c r="AW22" s="146" t="s">
        <v>861</v>
      </c>
      <c r="AX22" s="131" t="s">
        <v>847</v>
      </c>
      <c r="BB22" t="s">
        <v>764</v>
      </c>
      <c r="BC22" t="s">
        <v>627</v>
      </c>
      <c r="BD22" t="s">
        <v>587</v>
      </c>
    </row>
    <row r="23" spans="1:56" x14ac:dyDescent="0.3">
      <c r="A23" s="62">
        <v>3106</v>
      </c>
      <c r="C23" s="61" t="s">
        <v>95</v>
      </c>
      <c r="D23" s="61"/>
      <c r="F23" s="61"/>
      <c r="G23" s="61"/>
      <c r="I23" t="s">
        <v>102</v>
      </c>
      <c r="AH23" t="s">
        <v>355</v>
      </c>
      <c r="AI23" t="s">
        <v>585</v>
      </c>
      <c r="AW23" s="132" t="s">
        <v>832</v>
      </c>
      <c r="AX23" s="131" t="s">
        <v>569</v>
      </c>
      <c r="BB23" t="s">
        <v>628</v>
      </c>
      <c r="BC23" t="s">
        <v>627</v>
      </c>
      <c r="BD23" t="s">
        <v>587</v>
      </c>
    </row>
    <row r="24" spans="1:56" x14ac:dyDescent="0.3">
      <c r="A24" s="62">
        <v>2102</v>
      </c>
      <c r="C24" t="s">
        <v>745</v>
      </c>
      <c r="D24" s="61"/>
      <c r="F24" s="61"/>
      <c r="G24" s="61"/>
      <c r="I24" t="s">
        <v>91</v>
      </c>
      <c r="AH24" s="4" t="s">
        <v>354</v>
      </c>
      <c r="AI24" t="s">
        <v>838</v>
      </c>
      <c r="AW24" s="132" t="s">
        <v>833</v>
      </c>
      <c r="AX24" s="131" t="s">
        <v>570</v>
      </c>
      <c r="BB24" t="s">
        <v>763</v>
      </c>
      <c r="BC24" t="s">
        <v>627</v>
      </c>
      <c r="BD24" t="s">
        <v>587</v>
      </c>
    </row>
    <row r="25" spans="1:56" x14ac:dyDescent="0.3">
      <c r="A25" s="62">
        <v>2106</v>
      </c>
      <c r="C25" s="61" t="s">
        <v>556</v>
      </c>
      <c r="D25" s="61"/>
      <c r="F25" s="61"/>
      <c r="G25" s="61"/>
      <c r="I25" t="s">
        <v>93</v>
      </c>
      <c r="AH25" t="s">
        <v>124</v>
      </c>
      <c r="AI25" t="s">
        <v>558</v>
      </c>
      <c r="AW25" s="132" t="s">
        <v>834</v>
      </c>
      <c r="AX25" s="131" t="s">
        <v>679</v>
      </c>
      <c r="AY25" s="131" t="s">
        <v>668</v>
      </c>
      <c r="BB25" t="s">
        <v>863</v>
      </c>
      <c r="BC25" t="s">
        <v>630</v>
      </c>
      <c r="BD25" t="s">
        <v>587</v>
      </c>
    </row>
    <row r="26" spans="1:56" x14ac:dyDescent="0.3">
      <c r="A26" s="62">
        <v>3303</v>
      </c>
      <c r="C26" t="s">
        <v>756</v>
      </c>
      <c r="D26" s="61"/>
      <c r="F26" s="61"/>
      <c r="G26" s="61"/>
      <c r="I26" t="s">
        <v>96</v>
      </c>
      <c r="AH26" t="s">
        <v>585</v>
      </c>
      <c r="AI26" t="s">
        <v>559</v>
      </c>
      <c r="AW26" s="132" t="s">
        <v>692</v>
      </c>
      <c r="AX26" s="131" t="s">
        <v>571</v>
      </c>
      <c r="BB26" t="s">
        <v>629</v>
      </c>
      <c r="BC26" t="s">
        <v>630</v>
      </c>
      <c r="BD26" t="s">
        <v>806</v>
      </c>
    </row>
    <row r="27" spans="1:56" x14ac:dyDescent="0.3">
      <c r="A27" s="62">
        <v>3418</v>
      </c>
      <c r="C27" s="61" t="s">
        <v>494</v>
      </c>
      <c r="D27" s="61"/>
      <c r="F27" s="61"/>
      <c r="G27" s="61"/>
      <c r="I27" t="s">
        <v>89</v>
      </c>
      <c r="AH27" t="s">
        <v>775</v>
      </c>
      <c r="AI27" t="s">
        <v>637</v>
      </c>
      <c r="AW27" s="132" t="s">
        <v>693</v>
      </c>
      <c r="AX27" s="131" t="s">
        <v>572</v>
      </c>
      <c r="BB27" t="s">
        <v>631</v>
      </c>
      <c r="BC27" t="s">
        <v>630</v>
      </c>
      <c r="BD27" t="s">
        <v>587</v>
      </c>
    </row>
    <row r="28" spans="1:56" x14ac:dyDescent="0.3">
      <c r="A28" s="62">
        <v>3206</v>
      </c>
      <c r="C28" s="61" t="s">
        <v>495</v>
      </c>
      <c r="D28" s="61"/>
      <c r="F28" s="61"/>
      <c r="G28" s="61"/>
      <c r="AH28" t="s">
        <v>642</v>
      </c>
      <c r="AW28" s="132" t="s">
        <v>694</v>
      </c>
      <c r="AX28" s="131" t="s">
        <v>680</v>
      </c>
      <c r="AY28" s="131" t="s">
        <v>669</v>
      </c>
      <c r="BB28" s="146" t="s">
        <v>777</v>
      </c>
      <c r="BC28" t="s">
        <v>630</v>
      </c>
      <c r="BD28" t="s">
        <v>807</v>
      </c>
    </row>
    <row r="29" spans="1:56" x14ac:dyDescent="0.3">
      <c r="A29" s="62">
        <v>3202</v>
      </c>
      <c r="C29" s="61" t="s">
        <v>100</v>
      </c>
      <c r="D29" s="61"/>
      <c r="F29" s="61"/>
      <c r="G29" s="61"/>
      <c r="I29" s="61"/>
      <c r="J29" s="61"/>
      <c r="AH29" s="146" t="s">
        <v>818</v>
      </c>
      <c r="AW29" s="132" t="s">
        <v>695</v>
      </c>
      <c r="AX29" s="131" t="s">
        <v>573</v>
      </c>
      <c r="BB29" t="s">
        <v>779</v>
      </c>
      <c r="BC29" t="s">
        <v>630</v>
      </c>
      <c r="BD29" t="s">
        <v>807</v>
      </c>
    </row>
    <row r="30" spans="1:56" x14ac:dyDescent="0.3">
      <c r="A30" s="62">
        <v>3201</v>
      </c>
      <c r="C30" s="61" t="s">
        <v>101</v>
      </c>
      <c r="D30" s="61"/>
      <c r="F30" s="61"/>
      <c r="G30" s="61"/>
      <c r="I30" s="61"/>
      <c r="J30" s="61"/>
      <c r="AH30" s="146" t="s">
        <v>817</v>
      </c>
      <c r="AW30" s="132" t="s">
        <v>696</v>
      </c>
      <c r="AX30" s="131" t="s">
        <v>574</v>
      </c>
      <c r="BB30" t="s">
        <v>742</v>
      </c>
      <c r="BC30" t="s">
        <v>630</v>
      </c>
      <c r="BD30" t="s">
        <v>808</v>
      </c>
    </row>
    <row r="31" spans="1:56" x14ac:dyDescent="0.3">
      <c r="A31" s="62">
        <v>2308</v>
      </c>
      <c r="C31" s="61" t="s">
        <v>496</v>
      </c>
      <c r="I31" s="61"/>
      <c r="J31" s="61"/>
      <c r="AH31" t="s">
        <v>125</v>
      </c>
      <c r="AW31" s="132" t="s">
        <v>697</v>
      </c>
      <c r="AX31" s="131" t="s">
        <v>681</v>
      </c>
      <c r="AY31" s="131" t="s">
        <v>670</v>
      </c>
      <c r="BB31" s="146" t="s">
        <v>778</v>
      </c>
      <c r="BC31" t="s">
        <v>630</v>
      </c>
      <c r="BD31" t="s">
        <v>807</v>
      </c>
    </row>
    <row r="32" spans="1:56" x14ac:dyDescent="0.3">
      <c r="A32" s="61" t="s">
        <v>105</v>
      </c>
      <c r="C32" s="61" t="s">
        <v>497</v>
      </c>
      <c r="I32" s="61"/>
      <c r="J32" s="61"/>
      <c r="AH32" t="s">
        <v>126</v>
      </c>
      <c r="AW32" s="132" t="s">
        <v>698</v>
      </c>
      <c r="AX32" s="131" t="s">
        <v>575</v>
      </c>
      <c r="BB32" t="s">
        <v>864</v>
      </c>
      <c r="BC32" t="s">
        <v>630</v>
      </c>
      <c r="BD32" t="s">
        <v>808</v>
      </c>
    </row>
    <row r="33" spans="1:56" x14ac:dyDescent="0.3">
      <c r="A33" s="61" t="s">
        <v>89</v>
      </c>
      <c r="C33" s="61" t="s">
        <v>89</v>
      </c>
      <c r="I33" s="63"/>
      <c r="J33" s="63"/>
      <c r="AH33" t="s">
        <v>127</v>
      </c>
      <c r="AW33" s="132" t="s">
        <v>699</v>
      </c>
      <c r="AX33" s="131" t="s">
        <v>576</v>
      </c>
      <c r="BB33" t="s">
        <v>634</v>
      </c>
      <c r="BC33" t="s">
        <v>630</v>
      </c>
      <c r="BD33" t="s">
        <v>806</v>
      </c>
    </row>
    <row r="34" spans="1:56" x14ac:dyDescent="0.3">
      <c r="A34" s="61" t="s">
        <v>180</v>
      </c>
      <c r="I34" s="63"/>
      <c r="J34" s="63"/>
      <c r="AH34" t="s">
        <v>128</v>
      </c>
      <c r="AW34" s="132" t="s">
        <v>700</v>
      </c>
      <c r="AX34" s="131" t="s">
        <v>682</v>
      </c>
      <c r="AY34" s="131" t="s">
        <v>671</v>
      </c>
      <c r="BB34" t="s">
        <v>868</v>
      </c>
      <c r="BC34" t="s">
        <v>630</v>
      </c>
      <c r="BD34" t="s">
        <v>594</v>
      </c>
    </row>
    <row r="35" spans="1:56" x14ac:dyDescent="0.3">
      <c r="A35" s="61" t="s">
        <v>347</v>
      </c>
      <c r="I35" s="63"/>
      <c r="J35" s="63"/>
      <c r="AH35" t="s">
        <v>129</v>
      </c>
      <c r="AW35" s="132" t="s">
        <v>701</v>
      </c>
      <c r="AX35" s="131" t="s">
        <v>577</v>
      </c>
      <c r="BB35" t="s">
        <v>867</v>
      </c>
      <c r="BC35" t="s">
        <v>630</v>
      </c>
      <c r="BD35" t="s">
        <v>594</v>
      </c>
    </row>
    <row r="36" spans="1:56" x14ac:dyDescent="0.3">
      <c r="I36" s="63"/>
      <c r="J36" s="63"/>
      <c r="AH36" t="s">
        <v>130</v>
      </c>
      <c r="AW36" s="132" t="s">
        <v>702</v>
      </c>
      <c r="AX36" s="131" t="s">
        <v>688</v>
      </c>
      <c r="AY36" t="s">
        <v>687</v>
      </c>
      <c r="BB36" t="s">
        <v>866</v>
      </c>
      <c r="BC36" t="s">
        <v>630</v>
      </c>
      <c r="BD36" t="s">
        <v>594</v>
      </c>
    </row>
    <row r="37" spans="1:56" x14ac:dyDescent="0.3">
      <c r="I37" s="63"/>
      <c r="J37" s="63"/>
      <c r="AH37" t="s">
        <v>131</v>
      </c>
      <c r="AW37" s="132" t="s">
        <v>703</v>
      </c>
      <c r="AX37" s="131" t="s">
        <v>578</v>
      </c>
      <c r="BB37" t="s">
        <v>865</v>
      </c>
      <c r="BC37" t="s">
        <v>630</v>
      </c>
      <c r="BD37" t="s">
        <v>594</v>
      </c>
    </row>
    <row r="38" spans="1:56" x14ac:dyDescent="0.3">
      <c r="I38" s="63"/>
      <c r="J38" s="63"/>
      <c r="AH38" t="s">
        <v>132</v>
      </c>
      <c r="AW38" s="132" t="s">
        <v>835</v>
      </c>
      <c r="AX38" s="131" t="s">
        <v>663</v>
      </c>
      <c r="BB38" t="s">
        <v>786</v>
      </c>
      <c r="BC38" t="s">
        <v>633</v>
      </c>
      <c r="BD38" t="s">
        <v>594</v>
      </c>
    </row>
    <row r="39" spans="1:56" x14ac:dyDescent="0.3">
      <c r="I39" s="63"/>
      <c r="J39" s="63"/>
      <c r="AH39" t="s">
        <v>133</v>
      </c>
      <c r="AW39" s="132" t="s">
        <v>836</v>
      </c>
      <c r="AX39" s="131" t="s">
        <v>664</v>
      </c>
      <c r="BB39" t="s">
        <v>632</v>
      </c>
      <c r="BC39" t="s">
        <v>633</v>
      </c>
      <c r="BD39" t="s">
        <v>587</v>
      </c>
    </row>
    <row r="40" spans="1:56" x14ac:dyDescent="0.3">
      <c r="I40" s="63"/>
      <c r="J40" s="63"/>
      <c r="AH40" t="s">
        <v>134</v>
      </c>
      <c r="AW40" s="132" t="s">
        <v>837</v>
      </c>
      <c r="AX40" s="131" t="s">
        <v>683</v>
      </c>
      <c r="AY40" s="131" t="s">
        <v>711</v>
      </c>
      <c r="BB40" t="s">
        <v>754</v>
      </c>
      <c r="BC40" t="s">
        <v>633</v>
      </c>
      <c r="BD40" t="s">
        <v>587</v>
      </c>
    </row>
    <row r="41" spans="1:56" x14ac:dyDescent="0.3">
      <c r="I41" s="61"/>
      <c r="J41" s="61"/>
      <c r="AH41" t="s">
        <v>135</v>
      </c>
      <c r="AW41" s="132" t="s">
        <v>704</v>
      </c>
      <c r="AX41" s="131" t="s">
        <v>579</v>
      </c>
      <c r="BB41" t="s">
        <v>753</v>
      </c>
      <c r="BC41" t="s">
        <v>633</v>
      </c>
      <c r="BD41" t="s">
        <v>587</v>
      </c>
    </row>
    <row r="42" spans="1:56" x14ac:dyDescent="0.3">
      <c r="I42" s="61"/>
      <c r="J42" s="61"/>
      <c r="AH42" t="s">
        <v>136</v>
      </c>
      <c r="AW42" s="132" t="s">
        <v>705</v>
      </c>
      <c r="AX42" s="131" t="s">
        <v>580</v>
      </c>
    </row>
    <row r="43" spans="1:56" x14ac:dyDescent="0.3">
      <c r="I43" s="61"/>
      <c r="J43" s="61"/>
      <c r="AH43" t="s">
        <v>137</v>
      </c>
      <c r="AW43" s="132" t="s">
        <v>706</v>
      </c>
      <c r="AX43" s="131" t="s">
        <v>581</v>
      </c>
    </row>
    <row r="44" spans="1:56" x14ac:dyDescent="0.3">
      <c r="I44" s="61"/>
      <c r="J44" s="61"/>
      <c r="AH44" t="s">
        <v>138</v>
      </c>
      <c r="AW44" s="132" t="s">
        <v>707</v>
      </c>
      <c r="AX44" s="131" t="s">
        <v>684</v>
      </c>
      <c r="AY44" s="131" t="s">
        <v>672</v>
      </c>
    </row>
    <row r="45" spans="1:56" x14ac:dyDescent="0.3">
      <c r="AH45" t="s">
        <v>140</v>
      </c>
      <c r="AW45" s="132" t="s">
        <v>708</v>
      </c>
      <c r="AX45" s="131" t="s">
        <v>582</v>
      </c>
    </row>
    <row r="46" spans="1:56" x14ac:dyDescent="0.3">
      <c r="AH46" t="s">
        <v>141</v>
      </c>
      <c r="AW46" s="132" t="s">
        <v>709</v>
      </c>
      <c r="AX46" s="131" t="s">
        <v>583</v>
      </c>
    </row>
    <row r="47" spans="1:56" x14ac:dyDescent="0.3">
      <c r="AH47" t="s">
        <v>139</v>
      </c>
      <c r="AW47" s="132" t="s">
        <v>710</v>
      </c>
      <c r="AX47" s="131" t="s">
        <v>685</v>
      </c>
      <c r="AY47" s="131" t="s">
        <v>673</v>
      </c>
    </row>
    <row r="48" spans="1:56" x14ac:dyDescent="0.3">
      <c r="AH48" t="s">
        <v>147</v>
      </c>
      <c r="AW48" s="132" t="s">
        <v>872</v>
      </c>
      <c r="AX48" s="131" t="s">
        <v>823</v>
      </c>
    </row>
    <row r="49" spans="34:49" x14ac:dyDescent="0.3">
      <c r="AH49" t="s">
        <v>142</v>
      </c>
    </row>
    <row r="50" spans="34:49" x14ac:dyDescent="0.3">
      <c r="AH50" t="s">
        <v>143</v>
      </c>
    </row>
    <row r="51" spans="34:49" x14ac:dyDescent="0.3">
      <c r="AH51" t="s">
        <v>144</v>
      </c>
    </row>
    <row r="52" spans="34:49" x14ac:dyDescent="0.3">
      <c r="AH52" t="s">
        <v>145</v>
      </c>
    </row>
    <row r="53" spans="34:49" x14ac:dyDescent="0.3">
      <c r="AH53" t="s">
        <v>154</v>
      </c>
    </row>
    <row r="54" spans="34:49" x14ac:dyDescent="0.3">
      <c r="AH54" t="s">
        <v>154</v>
      </c>
    </row>
    <row r="55" spans="34:49" x14ac:dyDescent="0.3">
      <c r="AH55" t="s">
        <v>146</v>
      </c>
    </row>
    <row r="56" spans="34:49" x14ac:dyDescent="0.3">
      <c r="AH56" t="s">
        <v>148</v>
      </c>
    </row>
    <row r="57" spans="34:49" x14ac:dyDescent="0.3">
      <c r="AH57" t="s">
        <v>155</v>
      </c>
    </row>
    <row r="58" spans="34:49" x14ac:dyDescent="0.3">
      <c r="AH58" t="s">
        <v>149</v>
      </c>
    </row>
    <row r="59" spans="34:49" x14ac:dyDescent="0.3">
      <c r="AH59" t="s">
        <v>150</v>
      </c>
    </row>
    <row r="60" spans="34:49" x14ac:dyDescent="0.3">
      <c r="AH60" t="s">
        <v>151</v>
      </c>
      <c r="AW60" s="146"/>
    </row>
    <row r="61" spans="34:49" x14ac:dyDescent="0.3">
      <c r="AH61" t="s">
        <v>152</v>
      </c>
      <c r="AW61" s="146"/>
    </row>
    <row r="62" spans="34:49" x14ac:dyDescent="0.3">
      <c r="AH62" t="s">
        <v>156</v>
      </c>
      <c r="AW62" s="146"/>
    </row>
    <row r="63" spans="34:49" x14ac:dyDescent="0.3">
      <c r="AH63" t="s">
        <v>158</v>
      </c>
    </row>
    <row r="64" spans="34:49" x14ac:dyDescent="0.3">
      <c r="AH64" t="s">
        <v>157</v>
      </c>
    </row>
    <row r="66" spans="34:34" x14ac:dyDescent="0.3">
      <c r="AH66" t="s">
        <v>160</v>
      </c>
    </row>
    <row r="67" spans="34:34" x14ac:dyDescent="0.3">
      <c r="AH67" t="s">
        <v>163</v>
      </c>
    </row>
    <row r="68" spans="34:34" x14ac:dyDescent="0.3">
      <c r="AH68" t="s">
        <v>161</v>
      </c>
    </row>
    <row r="69" spans="34:34" x14ac:dyDescent="0.3">
      <c r="AH69" t="s">
        <v>164</v>
      </c>
    </row>
    <row r="70" spans="34:34" x14ac:dyDescent="0.3">
      <c r="AH70" t="s">
        <v>162</v>
      </c>
    </row>
    <row r="71" spans="34:34" x14ac:dyDescent="0.3">
      <c r="AH71" t="s">
        <v>165</v>
      </c>
    </row>
    <row r="72" spans="34:34" x14ac:dyDescent="0.3">
      <c r="AH72" t="s">
        <v>166</v>
      </c>
    </row>
    <row r="73" spans="34:34" x14ac:dyDescent="0.3">
      <c r="AH73" t="s">
        <v>167</v>
      </c>
    </row>
    <row r="74" spans="34:34" x14ac:dyDescent="0.3">
      <c r="AH74" t="s">
        <v>168</v>
      </c>
    </row>
    <row r="75" spans="34:34" x14ac:dyDescent="0.3">
      <c r="AH75" t="s">
        <v>176</v>
      </c>
    </row>
    <row r="76" spans="34:34" x14ac:dyDescent="0.3">
      <c r="AH76" t="s">
        <v>169</v>
      </c>
    </row>
    <row r="77" spans="34:34" x14ac:dyDescent="0.3">
      <c r="AH77" t="s">
        <v>170</v>
      </c>
    </row>
    <row r="78" spans="34:34" x14ac:dyDescent="0.3">
      <c r="AH78" t="s">
        <v>171</v>
      </c>
    </row>
    <row r="79" spans="34:34" x14ac:dyDescent="0.3">
      <c r="AH79" t="s">
        <v>153</v>
      </c>
    </row>
    <row r="80" spans="34:34" x14ac:dyDescent="0.3">
      <c r="AH80" t="s">
        <v>172</v>
      </c>
    </row>
    <row r="81" spans="34:34" x14ac:dyDescent="0.3">
      <c r="AH81" t="s">
        <v>173</v>
      </c>
    </row>
    <row r="82" spans="34:34" x14ac:dyDescent="0.3">
      <c r="AH82" t="s">
        <v>174</v>
      </c>
    </row>
    <row r="83" spans="34:34" x14ac:dyDescent="0.3">
      <c r="AH83" t="s">
        <v>175</v>
      </c>
    </row>
    <row r="84" spans="34:34" x14ac:dyDescent="0.3">
      <c r="AH84" t="s">
        <v>178</v>
      </c>
    </row>
    <row r="85" spans="34:34" x14ac:dyDescent="0.3">
      <c r="AH85" t="s">
        <v>177</v>
      </c>
    </row>
    <row r="86" spans="34:34" x14ac:dyDescent="0.3">
      <c r="AH86" t="s">
        <v>179</v>
      </c>
    </row>
    <row r="87" spans="34:34" x14ac:dyDescent="0.3">
      <c r="AH87" t="s">
        <v>180</v>
      </c>
    </row>
    <row r="88" spans="34:34" x14ac:dyDescent="0.3">
      <c r="AH88" t="s">
        <v>182</v>
      </c>
    </row>
    <row r="89" spans="34:34" x14ac:dyDescent="0.3">
      <c r="AH89" t="s">
        <v>183</v>
      </c>
    </row>
    <row r="90" spans="34:34" x14ac:dyDescent="0.3">
      <c r="AH90" t="s">
        <v>184</v>
      </c>
    </row>
    <row r="91" spans="34:34" x14ac:dyDescent="0.3">
      <c r="AH91" t="s">
        <v>185</v>
      </c>
    </row>
    <row r="92" spans="34:34" x14ac:dyDescent="0.3">
      <c r="AH92" t="s">
        <v>186</v>
      </c>
    </row>
    <row r="93" spans="34:34" x14ac:dyDescent="0.3">
      <c r="AH93" t="s">
        <v>181</v>
      </c>
    </row>
    <row r="94" spans="34:34" x14ac:dyDescent="0.3">
      <c r="AH94" t="s">
        <v>200</v>
      </c>
    </row>
    <row r="95" spans="34:34" x14ac:dyDescent="0.3">
      <c r="AH95" t="s">
        <v>187</v>
      </c>
    </row>
    <row r="96" spans="34:34" x14ac:dyDescent="0.3">
      <c r="AH96" t="s">
        <v>188</v>
      </c>
    </row>
    <row r="97" spans="34:34" x14ac:dyDescent="0.3">
      <c r="AH97" t="s">
        <v>189</v>
      </c>
    </row>
    <row r="98" spans="34:34" x14ac:dyDescent="0.3">
      <c r="AH98" t="s">
        <v>190</v>
      </c>
    </row>
    <row r="99" spans="34:34" x14ac:dyDescent="0.3">
      <c r="AH99" t="s">
        <v>191</v>
      </c>
    </row>
    <row r="100" spans="34:34" x14ac:dyDescent="0.3">
      <c r="AH100" t="s">
        <v>192</v>
      </c>
    </row>
    <row r="101" spans="34:34" x14ac:dyDescent="0.3">
      <c r="AH101" t="s">
        <v>193</v>
      </c>
    </row>
    <row r="102" spans="34:34" x14ac:dyDescent="0.3">
      <c r="AH102" t="s">
        <v>194</v>
      </c>
    </row>
    <row r="103" spans="34:34" x14ac:dyDescent="0.3">
      <c r="AH103" t="s">
        <v>196</v>
      </c>
    </row>
    <row r="104" spans="34:34" x14ac:dyDescent="0.3">
      <c r="AH104" t="s">
        <v>197</v>
      </c>
    </row>
    <row r="105" spans="34:34" x14ac:dyDescent="0.3">
      <c r="AH105" t="s">
        <v>198</v>
      </c>
    </row>
    <row r="106" spans="34:34" x14ac:dyDescent="0.3">
      <c r="AH106" t="s">
        <v>199</v>
      </c>
    </row>
    <row r="107" spans="34:34" x14ac:dyDescent="0.3">
      <c r="AH107" t="s">
        <v>201</v>
      </c>
    </row>
    <row r="108" spans="34:34" x14ac:dyDescent="0.3">
      <c r="AH108" t="s">
        <v>195</v>
      </c>
    </row>
    <row r="109" spans="34:34" x14ac:dyDescent="0.3">
      <c r="AH109" t="s">
        <v>202</v>
      </c>
    </row>
    <row r="110" spans="34:34" x14ac:dyDescent="0.3">
      <c r="AH110" t="s">
        <v>203</v>
      </c>
    </row>
    <row r="111" spans="34:34" x14ac:dyDescent="0.3">
      <c r="AH111" t="s">
        <v>204</v>
      </c>
    </row>
    <row r="112" spans="34:34" x14ac:dyDescent="0.3">
      <c r="AH112" t="s">
        <v>205</v>
      </c>
    </row>
    <row r="113" spans="34:34" x14ac:dyDescent="0.3">
      <c r="AH113" t="s">
        <v>206</v>
      </c>
    </row>
    <row r="114" spans="34:34" x14ac:dyDescent="0.3">
      <c r="AH114" t="s">
        <v>207</v>
      </c>
    </row>
    <row r="115" spans="34:34" x14ac:dyDescent="0.3">
      <c r="AH115" t="s">
        <v>208</v>
      </c>
    </row>
    <row r="116" spans="34:34" x14ac:dyDescent="0.3">
      <c r="AH116" t="s">
        <v>209</v>
      </c>
    </row>
    <row r="117" spans="34:34" x14ac:dyDescent="0.3">
      <c r="AH117" t="s">
        <v>210</v>
      </c>
    </row>
    <row r="118" spans="34:34" x14ac:dyDescent="0.3">
      <c r="AH118" t="s">
        <v>211</v>
      </c>
    </row>
    <row r="119" spans="34:34" x14ac:dyDescent="0.3">
      <c r="AH119" t="s">
        <v>212</v>
      </c>
    </row>
    <row r="120" spans="34:34" x14ac:dyDescent="0.3">
      <c r="AH120" t="s">
        <v>213</v>
      </c>
    </row>
    <row r="121" spans="34:34" x14ac:dyDescent="0.3">
      <c r="AH121" t="s">
        <v>214</v>
      </c>
    </row>
    <row r="122" spans="34:34" x14ac:dyDescent="0.3">
      <c r="AH122" t="s">
        <v>215</v>
      </c>
    </row>
    <row r="123" spans="34:34" x14ac:dyDescent="0.3">
      <c r="AH123" t="s">
        <v>216</v>
      </c>
    </row>
    <row r="124" spans="34:34" x14ac:dyDescent="0.3">
      <c r="AH124" t="s">
        <v>217</v>
      </c>
    </row>
    <row r="125" spans="34:34" x14ac:dyDescent="0.3">
      <c r="AH125" t="s">
        <v>218</v>
      </c>
    </row>
    <row r="126" spans="34:34" x14ac:dyDescent="0.3">
      <c r="AH126" t="s">
        <v>219</v>
      </c>
    </row>
    <row r="127" spans="34:34" x14ac:dyDescent="0.3">
      <c r="AH127" t="s">
        <v>220</v>
      </c>
    </row>
    <row r="128" spans="34:34" x14ac:dyDescent="0.3">
      <c r="AH128" t="s">
        <v>221</v>
      </c>
    </row>
    <row r="129" spans="34:34" x14ac:dyDescent="0.3">
      <c r="AH129" t="s">
        <v>222</v>
      </c>
    </row>
    <row r="130" spans="34:34" x14ac:dyDescent="0.3">
      <c r="AH130" t="s">
        <v>223</v>
      </c>
    </row>
    <row r="131" spans="34:34" x14ac:dyDescent="0.3">
      <c r="AH131" t="s">
        <v>224</v>
      </c>
    </row>
    <row r="132" spans="34:34" x14ac:dyDescent="0.3">
      <c r="AH132" t="s">
        <v>225</v>
      </c>
    </row>
    <row r="133" spans="34:34" x14ac:dyDescent="0.3">
      <c r="AH133" t="s">
        <v>226</v>
      </c>
    </row>
    <row r="134" spans="34:34" x14ac:dyDescent="0.3">
      <c r="AH134" t="s">
        <v>227</v>
      </c>
    </row>
    <row r="135" spans="34:34" x14ac:dyDescent="0.3">
      <c r="AH135" t="s">
        <v>228</v>
      </c>
    </row>
    <row r="136" spans="34:34" x14ac:dyDescent="0.3">
      <c r="AH136" t="s">
        <v>229</v>
      </c>
    </row>
    <row r="137" spans="34:34" x14ac:dyDescent="0.3">
      <c r="AH137" t="s">
        <v>230</v>
      </c>
    </row>
    <row r="138" spans="34:34" x14ac:dyDescent="0.3">
      <c r="AH138" t="s">
        <v>231</v>
      </c>
    </row>
    <row r="139" spans="34:34" x14ac:dyDescent="0.3">
      <c r="AH139" t="s">
        <v>232</v>
      </c>
    </row>
    <row r="140" spans="34:34" x14ac:dyDescent="0.3">
      <c r="AH140" t="s">
        <v>233</v>
      </c>
    </row>
    <row r="141" spans="34:34" x14ac:dyDescent="0.3">
      <c r="AH141" t="s">
        <v>234</v>
      </c>
    </row>
    <row r="142" spans="34:34" x14ac:dyDescent="0.3">
      <c r="AH142" t="s">
        <v>235</v>
      </c>
    </row>
    <row r="143" spans="34:34" x14ac:dyDescent="0.3">
      <c r="AH143" t="s">
        <v>236</v>
      </c>
    </row>
    <row r="144" spans="34:34" x14ac:dyDescent="0.3">
      <c r="AH144" t="s">
        <v>237</v>
      </c>
    </row>
    <row r="145" spans="34:34" x14ac:dyDescent="0.3">
      <c r="AH145" t="s">
        <v>238</v>
      </c>
    </row>
    <row r="146" spans="34:34" x14ac:dyDescent="0.3">
      <c r="AH146" t="s">
        <v>239</v>
      </c>
    </row>
    <row r="147" spans="34:34" x14ac:dyDescent="0.3">
      <c r="AH147" t="s">
        <v>240</v>
      </c>
    </row>
    <row r="148" spans="34:34" x14ac:dyDescent="0.3">
      <c r="AH148" t="s">
        <v>241</v>
      </c>
    </row>
    <row r="149" spans="34:34" x14ac:dyDescent="0.3">
      <c r="AH149" t="s">
        <v>242</v>
      </c>
    </row>
    <row r="150" spans="34:34" x14ac:dyDescent="0.3">
      <c r="AH150" t="s">
        <v>243</v>
      </c>
    </row>
    <row r="151" spans="34:34" x14ac:dyDescent="0.3">
      <c r="AH151" t="s">
        <v>244</v>
      </c>
    </row>
    <row r="152" spans="34:34" x14ac:dyDescent="0.3">
      <c r="AH152" t="s">
        <v>245</v>
      </c>
    </row>
    <row r="153" spans="34:34" x14ac:dyDescent="0.3">
      <c r="AH153" t="s">
        <v>246</v>
      </c>
    </row>
    <row r="154" spans="34:34" x14ac:dyDescent="0.3">
      <c r="AH154" t="s">
        <v>247</v>
      </c>
    </row>
    <row r="155" spans="34:34" x14ac:dyDescent="0.3">
      <c r="AH155" t="s">
        <v>248</v>
      </c>
    </row>
    <row r="156" spans="34:34" x14ac:dyDescent="0.3">
      <c r="AH156" t="s">
        <v>249</v>
      </c>
    </row>
    <row r="157" spans="34:34" x14ac:dyDescent="0.3">
      <c r="AH157" t="s">
        <v>250</v>
      </c>
    </row>
    <row r="158" spans="34:34" x14ac:dyDescent="0.3">
      <c r="AH158" t="s">
        <v>251</v>
      </c>
    </row>
    <row r="159" spans="34:34" x14ac:dyDescent="0.3">
      <c r="AH159" t="s">
        <v>252</v>
      </c>
    </row>
    <row r="160" spans="34:34" x14ac:dyDescent="0.3">
      <c r="AH160" t="s">
        <v>253</v>
      </c>
    </row>
    <row r="161" spans="34:34" x14ac:dyDescent="0.3">
      <c r="AH161" t="s">
        <v>254</v>
      </c>
    </row>
    <row r="162" spans="34:34" x14ac:dyDescent="0.3">
      <c r="AH162" t="s">
        <v>255</v>
      </c>
    </row>
    <row r="163" spans="34:34" x14ac:dyDescent="0.3">
      <c r="AH163" t="s">
        <v>256</v>
      </c>
    </row>
    <row r="164" spans="34:34" x14ac:dyDescent="0.3">
      <c r="AH164" t="s">
        <v>257</v>
      </c>
    </row>
    <row r="165" spans="34:34" x14ac:dyDescent="0.3">
      <c r="AH165" t="s">
        <v>258</v>
      </c>
    </row>
    <row r="166" spans="34:34" x14ac:dyDescent="0.3">
      <c r="AH166" t="s">
        <v>259</v>
      </c>
    </row>
    <row r="167" spans="34:34" x14ac:dyDescent="0.3">
      <c r="AH167" t="s">
        <v>260</v>
      </c>
    </row>
    <row r="168" spans="34:34" x14ac:dyDescent="0.3">
      <c r="AH168" t="s">
        <v>261</v>
      </c>
    </row>
    <row r="169" spans="34:34" x14ac:dyDescent="0.3">
      <c r="AH169" t="s">
        <v>262</v>
      </c>
    </row>
    <row r="170" spans="34:34" x14ac:dyDescent="0.3">
      <c r="AH170" t="s">
        <v>263</v>
      </c>
    </row>
    <row r="171" spans="34:34" x14ac:dyDescent="0.3">
      <c r="AH171" t="s">
        <v>264</v>
      </c>
    </row>
    <row r="172" spans="34:34" x14ac:dyDescent="0.3">
      <c r="AH172" t="s">
        <v>265</v>
      </c>
    </row>
    <row r="173" spans="34:34" x14ac:dyDescent="0.3">
      <c r="AH173" t="s">
        <v>266</v>
      </c>
    </row>
    <row r="174" spans="34:34" x14ac:dyDescent="0.3">
      <c r="AH174" t="s">
        <v>267</v>
      </c>
    </row>
    <row r="175" spans="34:34" x14ac:dyDescent="0.3">
      <c r="AH175" t="s">
        <v>268</v>
      </c>
    </row>
    <row r="176" spans="34:34" x14ac:dyDescent="0.3">
      <c r="AH176" t="s">
        <v>269</v>
      </c>
    </row>
    <row r="177" spans="34:34" x14ac:dyDescent="0.3">
      <c r="AH177" t="s">
        <v>270</v>
      </c>
    </row>
    <row r="178" spans="34:34" x14ac:dyDescent="0.3">
      <c r="AH178" t="s">
        <v>271</v>
      </c>
    </row>
    <row r="179" spans="34:34" x14ac:dyDescent="0.3">
      <c r="AH179" t="s">
        <v>272</v>
      </c>
    </row>
    <row r="180" spans="34:34" x14ac:dyDescent="0.3">
      <c r="AH180" t="s">
        <v>273</v>
      </c>
    </row>
    <row r="181" spans="34:34" x14ac:dyDescent="0.3">
      <c r="AH181" t="s">
        <v>274</v>
      </c>
    </row>
    <row r="182" spans="34:34" x14ac:dyDescent="0.3">
      <c r="AH182" t="s">
        <v>275</v>
      </c>
    </row>
    <row r="183" spans="34:34" x14ac:dyDescent="0.3">
      <c r="AH183" t="s">
        <v>276</v>
      </c>
    </row>
    <row r="184" spans="34:34" x14ac:dyDescent="0.3">
      <c r="AH184" t="s">
        <v>277</v>
      </c>
    </row>
    <row r="185" spans="34:34" x14ac:dyDescent="0.3">
      <c r="AH185" t="s">
        <v>278</v>
      </c>
    </row>
    <row r="186" spans="34:34" x14ac:dyDescent="0.3">
      <c r="AH186" t="s">
        <v>279</v>
      </c>
    </row>
    <row r="187" spans="34:34" x14ac:dyDescent="0.3">
      <c r="AH187" t="s">
        <v>280</v>
      </c>
    </row>
    <row r="188" spans="34:34" x14ac:dyDescent="0.3">
      <c r="AH188" t="s">
        <v>281</v>
      </c>
    </row>
    <row r="189" spans="34:34" x14ac:dyDescent="0.3">
      <c r="AH189" t="s">
        <v>558</v>
      </c>
    </row>
    <row r="190" spans="34:34" x14ac:dyDescent="0.3">
      <c r="AH190" t="s">
        <v>559</v>
      </c>
    </row>
    <row r="191" spans="34:34" x14ac:dyDescent="0.3">
      <c r="AH191" t="s">
        <v>282</v>
      </c>
    </row>
    <row r="192" spans="34:34" x14ac:dyDescent="0.3">
      <c r="AH192" t="s">
        <v>283</v>
      </c>
    </row>
    <row r="193" spans="34:34" x14ac:dyDescent="0.3">
      <c r="AH193" t="s">
        <v>284</v>
      </c>
    </row>
    <row r="194" spans="34:34" x14ac:dyDescent="0.3">
      <c r="AH194" t="s">
        <v>285</v>
      </c>
    </row>
    <row r="195" spans="34:34" x14ac:dyDescent="0.3">
      <c r="AH195" t="s">
        <v>286</v>
      </c>
    </row>
    <row r="196" spans="34:34" x14ac:dyDescent="0.3">
      <c r="AH196" t="s">
        <v>287</v>
      </c>
    </row>
    <row r="197" spans="34:34" x14ac:dyDescent="0.3">
      <c r="AH197" t="s">
        <v>288</v>
      </c>
    </row>
    <row r="198" spans="34:34" x14ac:dyDescent="0.3">
      <c r="AH198" t="s">
        <v>289</v>
      </c>
    </row>
    <row r="199" spans="34:34" x14ac:dyDescent="0.3">
      <c r="AH199" t="s">
        <v>290</v>
      </c>
    </row>
    <row r="200" spans="34:34" x14ac:dyDescent="0.3">
      <c r="AH200" t="s">
        <v>291</v>
      </c>
    </row>
    <row r="201" spans="34:34" x14ac:dyDescent="0.3">
      <c r="AH201" t="s">
        <v>292</v>
      </c>
    </row>
    <row r="202" spans="34:34" x14ac:dyDescent="0.3">
      <c r="AH202" t="s">
        <v>293</v>
      </c>
    </row>
    <row r="203" spans="34:34" x14ac:dyDescent="0.3">
      <c r="AH203" t="s">
        <v>294</v>
      </c>
    </row>
    <row r="204" spans="34:34" x14ac:dyDescent="0.3">
      <c r="AH204" t="s">
        <v>295</v>
      </c>
    </row>
    <row r="205" spans="34:34" x14ac:dyDescent="0.3">
      <c r="AH205" t="s">
        <v>296</v>
      </c>
    </row>
    <row r="206" spans="34:34" x14ac:dyDescent="0.3">
      <c r="AH206" t="s">
        <v>297</v>
      </c>
    </row>
    <row r="207" spans="34:34" x14ac:dyDescent="0.3">
      <c r="AH207" t="s">
        <v>298</v>
      </c>
    </row>
    <row r="208" spans="34:34" x14ac:dyDescent="0.3">
      <c r="AH208" t="s">
        <v>299</v>
      </c>
    </row>
    <row r="209" spans="34:34" x14ac:dyDescent="0.3">
      <c r="AH209" t="s">
        <v>300</v>
      </c>
    </row>
    <row r="210" spans="34:34" x14ac:dyDescent="0.3">
      <c r="AH210" t="s">
        <v>301</v>
      </c>
    </row>
    <row r="211" spans="34:34" x14ac:dyDescent="0.3">
      <c r="AH211" t="s">
        <v>302</v>
      </c>
    </row>
    <row r="212" spans="34:34" x14ac:dyDescent="0.3">
      <c r="AH212" t="s">
        <v>303</v>
      </c>
    </row>
    <row r="213" spans="34:34" x14ac:dyDescent="0.3">
      <c r="AH213" t="s">
        <v>304</v>
      </c>
    </row>
    <row r="214" spans="34:34" x14ac:dyDescent="0.3">
      <c r="AH214" t="s">
        <v>305</v>
      </c>
    </row>
    <row r="215" spans="34:34" x14ac:dyDescent="0.3">
      <c r="AH215" t="s">
        <v>306</v>
      </c>
    </row>
    <row r="216" spans="34:34" x14ac:dyDescent="0.3">
      <c r="AH216" t="s">
        <v>307</v>
      </c>
    </row>
    <row r="217" spans="34:34" x14ac:dyDescent="0.3">
      <c r="AH217" t="s">
        <v>308</v>
      </c>
    </row>
    <row r="218" spans="34:34" x14ac:dyDescent="0.3">
      <c r="AH218" t="s">
        <v>309</v>
      </c>
    </row>
    <row r="219" spans="34:34" x14ac:dyDescent="0.3">
      <c r="AH219" t="s">
        <v>310</v>
      </c>
    </row>
    <row r="220" spans="34:34" x14ac:dyDescent="0.3">
      <c r="AH220" t="s">
        <v>311</v>
      </c>
    </row>
    <row r="221" spans="34:34" x14ac:dyDescent="0.3">
      <c r="AH221" t="s">
        <v>312</v>
      </c>
    </row>
    <row r="222" spans="34:34" x14ac:dyDescent="0.3">
      <c r="AH222" t="s">
        <v>313</v>
      </c>
    </row>
    <row r="223" spans="34:34" x14ac:dyDescent="0.3">
      <c r="AH223" t="s">
        <v>314</v>
      </c>
    </row>
    <row r="224" spans="34:34" x14ac:dyDescent="0.3">
      <c r="AH224" t="s">
        <v>315</v>
      </c>
    </row>
    <row r="225" spans="34:34" x14ac:dyDescent="0.3">
      <c r="AH225" t="s">
        <v>316</v>
      </c>
    </row>
    <row r="226" spans="34:34" x14ac:dyDescent="0.3">
      <c r="AH226" t="s">
        <v>317</v>
      </c>
    </row>
    <row r="227" spans="34:34" x14ac:dyDescent="0.3">
      <c r="AH227" t="s">
        <v>318</v>
      </c>
    </row>
    <row r="228" spans="34:34" x14ac:dyDescent="0.3">
      <c r="AH228" t="s">
        <v>319</v>
      </c>
    </row>
    <row r="229" spans="34:34" x14ac:dyDescent="0.3">
      <c r="AH229" t="s">
        <v>320</v>
      </c>
    </row>
    <row r="230" spans="34:34" x14ac:dyDescent="0.3">
      <c r="AH230" t="s">
        <v>321</v>
      </c>
    </row>
    <row r="231" spans="34:34" x14ac:dyDescent="0.3">
      <c r="AH231" t="s">
        <v>322</v>
      </c>
    </row>
    <row r="232" spans="34:34" x14ac:dyDescent="0.3">
      <c r="AH232" t="s">
        <v>323</v>
      </c>
    </row>
    <row r="233" spans="34:34" x14ac:dyDescent="0.3">
      <c r="AH233" t="s">
        <v>324</v>
      </c>
    </row>
    <row r="234" spans="34:34" x14ac:dyDescent="0.3">
      <c r="AH234" t="s">
        <v>325</v>
      </c>
    </row>
    <row r="235" spans="34:34" x14ac:dyDescent="0.3">
      <c r="AH235" t="s">
        <v>326</v>
      </c>
    </row>
    <row r="236" spans="34:34" x14ac:dyDescent="0.3">
      <c r="AH236" t="s">
        <v>327</v>
      </c>
    </row>
    <row r="237" spans="34:34" x14ac:dyDescent="0.3">
      <c r="AH237" t="s">
        <v>328</v>
      </c>
    </row>
    <row r="238" spans="34:34" x14ac:dyDescent="0.3">
      <c r="AH238" t="s">
        <v>329</v>
      </c>
    </row>
    <row r="239" spans="34:34" x14ac:dyDescent="0.3">
      <c r="AH239" t="s">
        <v>330</v>
      </c>
    </row>
    <row r="240" spans="34:34" x14ac:dyDescent="0.3">
      <c r="AH240" t="s">
        <v>331</v>
      </c>
    </row>
    <row r="241" spans="34:34" x14ac:dyDescent="0.3">
      <c r="AH241" t="s">
        <v>332</v>
      </c>
    </row>
    <row r="242" spans="34:34" x14ac:dyDescent="0.3">
      <c r="AH242" t="s">
        <v>333</v>
      </c>
    </row>
    <row r="243" spans="34:34" x14ac:dyDescent="0.3">
      <c r="AH243" t="s">
        <v>334</v>
      </c>
    </row>
    <row r="244" spans="34:34" x14ac:dyDescent="0.3">
      <c r="AH244" t="s">
        <v>335</v>
      </c>
    </row>
    <row r="245" spans="34:34" x14ac:dyDescent="0.3">
      <c r="AH245" t="s">
        <v>336</v>
      </c>
    </row>
    <row r="246" spans="34:34" x14ac:dyDescent="0.3">
      <c r="AH246" t="s">
        <v>337</v>
      </c>
    </row>
    <row r="247" spans="34:34" x14ac:dyDescent="0.3">
      <c r="AH247" t="s">
        <v>338</v>
      </c>
    </row>
    <row r="248" spans="34:34" x14ac:dyDescent="0.3">
      <c r="AH248" t="s">
        <v>339</v>
      </c>
    </row>
    <row r="249" spans="34:34" x14ac:dyDescent="0.3">
      <c r="AH249" t="s">
        <v>340</v>
      </c>
    </row>
    <row r="250" spans="34:34" x14ac:dyDescent="0.3">
      <c r="AH250" t="s">
        <v>341</v>
      </c>
    </row>
    <row r="251" spans="34:34" x14ac:dyDescent="0.3">
      <c r="AH251" t="s">
        <v>342</v>
      </c>
    </row>
    <row r="252" spans="34:34" x14ac:dyDescent="0.3">
      <c r="AH252" t="s">
        <v>343</v>
      </c>
    </row>
    <row r="253" spans="34:34" x14ac:dyDescent="0.3">
      <c r="AH253" t="s">
        <v>344</v>
      </c>
    </row>
    <row r="254" spans="34:34" x14ac:dyDescent="0.3">
      <c r="AH254" t="s">
        <v>345</v>
      </c>
    </row>
    <row r="255" spans="34:34" x14ac:dyDescent="0.3">
      <c r="AH255" t="s">
        <v>346</v>
      </c>
    </row>
    <row r="257" spans="34:34" x14ac:dyDescent="0.3">
      <c r="AH257" t="s">
        <v>637</v>
      </c>
    </row>
  </sheetData>
  <autoFilter ref="A1:BC250" xr:uid="{8CAE63E1-1AF0-4E14-AA8F-5C58DAEE52BB}"/>
  <sortState xmlns:xlrd2="http://schemas.microsoft.com/office/spreadsheetml/2017/richdata2" ref="AH4:AH253">
    <sortCondition ref="AH253"/>
  </sortState>
  <phoneticPr fontId="13" type="noConversion"/>
  <conditionalFormatting sqref="AX20">
    <cfRule type="duplicateValues" dxfId="3" priority="1"/>
  </conditionalFormatting>
  <conditionalFormatting sqref="AX45:AX46 AX35 AX37:AX39 AX41:AX43 AX14:AX17 AX26:AX27 AX29:AX30 AX32:AX33 AX9:AX12 AX5:AX7 AX21:AX24">
    <cfRule type="duplicateValues" dxfId="2" priority="25"/>
  </conditionalFormatting>
  <conditionalFormatting sqref="AX48">
    <cfRule type="duplicateValues" dxfId="1" priority="2"/>
  </conditionalFormatting>
  <conditionalFormatting sqref="AX3:AY3">
    <cfRule type="duplicateValues" dxfId="0" priority="24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5237-9DC5-4A04-AFCE-532ADC4C9655}">
  <dimension ref="A1:F17"/>
  <sheetViews>
    <sheetView topLeftCell="A13" workbookViewId="0">
      <selection activeCell="B17" sqref="B17"/>
    </sheetView>
  </sheetViews>
  <sheetFormatPr defaultRowHeight="14.4" x14ac:dyDescent="0.3"/>
  <cols>
    <col min="1" max="1" width="8.33203125" bestFit="1" customWidth="1"/>
    <col min="2" max="2" width="39.77734375" customWidth="1"/>
    <col min="3" max="3" width="11.44140625" bestFit="1" customWidth="1"/>
    <col min="4" max="4" width="10.33203125" bestFit="1" customWidth="1"/>
  </cols>
  <sheetData>
    <row r="1" spans="1:6" x14ac:dyDescent="0.3">
      <c r="A1" s="123" t="s">
        <v>659</v>
      </c>
      <c r="B1" s="123" t="s">
        <v>654</v>
      </c>
      <c r="C1" s="123" t="s">
        <v>655</v>
      </c>
      <c r="D1" s="123" t="s">
        <v>658</v>
      </c>
    </row>
    <row r="2" spans="1:6" ht="43.2" x14ac:dyDescent="0.3">
      <c r="A2" t="s">
        <v>652</v>
      </c>
      <c r="B2" s="121" t="s">
        <v>729</v>
      </c>
      <c r="C2" t="s">
        <v>656</v>
      </c>
      <c r="D2" s="122">
        <v>44847</v>
      </c>
    </row>
    <row r="3" spans="1:6" ht="57.6" x14ac:dyDescent="0.3">
      <c r="A3" t="s">
        <v>657</v>
      </c>
      <c r="B3" s="121" t="s">
        <v>665</v>
      </c>
      <c r="C3" t="s">
        <v>653</v>
      </c>
      <c r="D3" s="122">
        <v>44860</v>
      </c>
    </row>
    <row r="4" spans="1:6" ht="43.2" x14ac:dyDescent="0.3">
      <c r="A4" t="s">
        <v>712</v>
      </c>
      <c r="B4" s="121" t="s">
        <v>728</v>
      </c>
      <c r="C4" t="s">
        <v>653</v>
      </c>
      <c r="D4" s="122">
        <v>44910</v>
      </c>
    </row>
    <row r="5" spans="1:6" ht="28.8" x14ac:dyDescent="0.3">
      <c r="A5" t="s">
        <v>736</v>
      </c>
      <c r="B5" s="121" t="s">
        <v>737</v>
      </c>
      <c r="C5" t="s">
        <v>653</v>
      </c>
      <c r="D5" s="122">
        <v>44943</v>
      </c>
    </row>
    <row r="6" spans="1:6" ht="28.8" x14ac:dyDescent="0.3">
      <c r="A6" t="s">
        <v>739</v>
      </c>
      <c r="B6" s="121" t="s">
        <v>743</v>
      </c>
      <c r="C6" t="s">
        <v>653</v>
      </c>
      <c r="D6" s="122">
        <v>45299</v>
      </c>
    </row>
    <row r="7" spans="1:6" ht="57.6" x14ac:dyDescent="0.3">
      <c r="A7" t="s">
        <v>744</v>
      </c>
      <c r="B7" s="121" t="s">
        <v>750</v>
      </c>
      <c r="C7" t="s">
        <v>653</v>
      </c>
      <c r="D7" s="122">
        <v>45320</v>
      </c>
    </row>
    <row r="8" spans="1:6" x14ac:dyDescent="0.3">
      <c r="A8" t="s">
        <v>770</v>
      </c>
      <c r="B8" s="121" t="s">
        <v>771</v>
      </c>
      <c r="C8" t="s">
        <v>653</v>
      </c>
      <c r="D8" s="122">
        <v>45366</v>
      </c>
    </row>
    <row r="9" spans="1:6" ht="43.2" x14ac:dyDescent="0.3">
      <c r="A9" t="s">
        <v>773</v>
      </c>
      <c r="B9" s="121" t="s">
        <v>781</v>
      </c>
      <c r="C9" t="s">
        <v>653</v>
      </c>
      <c r="D9" s="122">
        <v>45492</v>
      </c>
    </row>
    <row r="10" spans="1:6" ht="43.2" x14ac:dyDescent="0.3">
      <c r="A10" t="s">
        <v>785</v>
      </c>
      <c r="B10" s="121" t="s">
        <v>809</v>
      </c>
      <c r="C10" t="s">
        <v>653</v>
      </c>
      <c r="D10" s="122">
        <v>45538</v>
      </c>
    </row>
    <row r="11" spans="1:6" ht="28.8" x14ac:dyDescent="0.3">
      <c r="A11" t="s">
        <v>811</v>
      </c>
      <c r="B11" s="121" t="s">
        <v>812</v>
      </c>
      <c r="C11" t="s">
        <v>653</v>
      </c>
      <c r="D11" s="122">
        <v>45575</v>
      </c>
    </row>
    <row r="12" spans="1:6" ht="43.2" x14ac:dyDescent="0.3">
      <c r="A12" t="s">
        <v>813</v>
      </c>
      <c r="B12" s="121" t="s">
        <v>839</v>
      </c>
      <c r="C12" t="s">
        <v>653</v>
      </c>
      <c r="D12" s="122">
        <v>45796</v>
      </c>
    </row>
    <row r="13" spans="1:6" ht="28.8" x14ac:dyDescent="0.3">
      <c r="A13" t="s">
        <v>840</v>
      </c>
      <c r="B13" s="121" t="s">
        <v>851</v>
      </c>
      <c r="C13" t="s">
        <v>653</v>
      </c>
      <c r="D13" s="122">
        <v>45905</v>
      </c>
    </row>
    <row r="14" spans="1:6" x14ac:dyDescent="0.3">
      <c r="A14" t="s">
        <v>852</v>
      </c>
      <c r="B14" s="121" t="s">
        <v>869</v>
      </c>
      <c r="C14" t="s">
        <v>653</v>
      </c>
      <c r="D14" s="122">
        <v>45957</v>
      </c>
      <c r="F14" s="165"/>
    </row>
    <row r="15" spans="1:6" ht="43.2" x14ac:dyDescent="0.3">
      <c r="A15" t="s">
        <v>871</v>
      </c>
      <c r="B15" s="121" t="s">
        <v>873</v>
      </c>
      <c r="C15" t="s">
        <v>653</v>
      </c>
      <c r="D15" s="122">
        <v>45971</v>
      </c>
    </row>
    <row r="16" spans="1:6" ht="28.8" x14ac:dyDescent="0.3">
      <c r="A16" t="s">
        <v>874</v>
      </c>
      <c r="B16" s="121" t="s">
        <v>881</v>
      </c>
      <c r="C16" t="s">
        <v>653</v>
      </c>
      <c r="D16" s="122">
        <v>46112</v>
      </c>
    </row>
    <row r="17" spans="1:4" ht="28.8" x14ac:dyDescent="0.3">
      <c r="A17" t="s">
        <v>882</v>
      </c>
      <c r="B17" s="121" t="s">
        <v>883</v>
      </c>
      <c r="C17" t="s">
        <v>653</v>
      </c>
      <c r="D17" s="348">
        <v>46199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FE91D2E61F7F40A6337C94D436C1A4" ma:contentTypeVersion="13" ma:contentTypeDescription="Create a new document." ma:contentTypeScope="" ma:versionID="2aa30d83383969e7f47ad38301639eee">
  <xsd:schema xmlns:xsd="http://www.w3.org/2001/XMLSchema" xmlns:xs="http://www.w3.org/2001/XMLSchema" xmlns:p="http://schemas.microsoft.com/office/2006/metadata/properties" xmlns:ns3="73e377e9-5fdb-4942-a524-fa6b0dd48876" xmlns:ns4="4e2cd788-6ac2-4404-aa1e-6036b74e817b" targetNamespace="http://schemas.microsoft.com/office/2006/metadata/properties" ma:root="true" ma:fieldsID="e922573f410f2ba738b41dfe21ad061d" ns3:_="" ns4:_="">
    <xsd:import namespace="73e377e9-5fdb-4942-a524-fa6b0dd48876"/>
    <xsd:import namespace="4e2cd788-6ac2-4404-aa1e-6036b74e81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377e9-5fdb-4942-a524-fa6b0dd48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2cd788-6ac2-4404-aa1e-6036b74e8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53F507-49FF-4610-B0A8-626E3F500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377e9-5fdb-4942-a524-fa6b0dd48876"/>
    <ds:schemaRef ds:uri="4e2cd788-6ac2-4404-aa1e-6036b74e8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B48B32-CB4A-4B07-8E66-245A02088440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73e377e9-5fdb-4942-a524-fa6b0dd48876"/>
    <ds:schemaRef ds:uri="http://purl.org/dc/elements/1.1/"/>
    <ds:schemaRef ds:uri="http://schemas.microsoft.com/office/2006/metadata/properties"/>
    <ds:schemaRef ds:uri="4e2cd788-6ac2-4404-aa1e-6036b74e817b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F647083-4BC2-41A4-B925-3202BF7CFE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TSS-bestaande site Report</vt:lpstr>
      <vt:lpstr>TSS-nieuwbouw site Report</vt:lpstr>
      <vt:lpstr>Checklist Fotodocumentatie</vt:lpstr>
      <vt:lpstr>values</vt:lpstr>
      <vt:lpstr>Revisies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wouter.wolthuis@ericsson.com</dc:creator>
  <cp:lastModifiedBy>Eric van der Mast</cp:lastModifiedBy>
  <cp:lastPrinted>2021-11-15T13:26:04Z</cp:lastPrinted>
  <dcterms:created xsi:type="dcterms:W3CDTF">2017-10-18T09:15:03Z</dcterms:created>
  <dcterms:modified xsi:type="dcterms:W3CDTF">2026-06-26T07:46:39Z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0x010100AEFE91D2E61F7F40A6337C94D436C1A4</vt:lpwstr>
  </property>
</Properties>
</file>